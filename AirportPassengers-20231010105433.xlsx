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"/>
    </mc:Choice>
  </mc:AlternateContent>
  <xr:revisionPtr revIDLastSave="0" documentId="13_ncr:1_{70A8B331-1BFA-459A-8F0F-F2C0EC789B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ng Average" sheetId="1" r:id="rId1"/>
    <sheet name="Exponential Smoothing" sheetId="2" r:id="rId2"/>
  </sheets>
  <calcPr calcId="191029"/>
</workbook>
</file>

<file path=xl/calcChain.xml><?xml version="1.0" encoding="utf-8"?>
<calcChain xmlns="http://schemas.openxmlformats.org/spreadsheetml/2006/main">
  <c r="I4" i="1" l="1"/>
  <c r="Q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O46" i="2" s="1"/>
  <c r="N47" i="2"/>
  <c r="N48" i="2"/>
  <c r="N49" i="2"/>
  <c r="N50" i="2"/>
  <c r="N51" i="2"/>
  <c r="N52" i="2"/>
  <c r="O52" i="2" s="1"/>
  <c r="N53" i="2"/>
  <c r="N54" i="2"/>
  <c r="N55" i="2"/>
  <c r="N56" i="2"/>
  <c r="N5" i="2"/>
  <c r="O56" i="2"/>
  <c r="O54" i="2"/>
  <c r="O51" i="2"/>
  <c r="O50" i="2"/>
  <c r="O48" i="2"/>
  <c r="O44" i="2"/>
  <c r="O43" i="2"/>
  <c r="O42" i="2"/>
  <c r="O40" i="2"/>
  <c r="O38" i="2"/>
  <c r="O36" i="2"/>
  <c r="O35" i="2"/>
  <c r="O34" i="2"/>
  <c r="O32" i="2"/>
  <c r="O30" i="2"/>
  <c r="O28" i="2"/>
  <c r="O27" i="2"/>
  <c r="O26" i="2"/>
  <c r="O24" i="2"/>
  <c r="O22" i="2"/>
  <c r="O20" i="2"/>
  <c r="O19" i="2"/>
  <c r="O18" i="2"/>
  <c r="O16" i="2"/>
  <c r="O14" i="2"/>
  <c r="O12" i="2"/>
  <c r="O11" i="2"/>
  <c r="O10" i="2"/>
  <c r="O8" i="2"/>
  <c r="O6" i="2"/>
  <c r="M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6" i="2"/>
  <c r="L7" i="2"/>
  <c r="L8" i="2"/>
  <c r="L9" i="2"/>
  <c r="L10" i="2"/>
  <c r="L11" i="2"/>
  <c r="L12" i="2"/>
  <c r="L13" i="2"/>
  <c r="L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" i="2"/>
  <c r="I3" i="2"/>
  <c r="F3" i="2"/>
  <c r="G3" i="2"/>
  <c r="H3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6" i="2"/>
  <c r="H7" i="2"/>
  <c r="H8" i="2"/>
  <c r="H5" i="2"/>
  <c r="G9" i="1"/>
  <c r="E9" i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6" i="2"/>
  <c r="G7" i="2"/>
  <c r="G8" i="2"/>
  <c r="G5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6" i="2"/>
  <c r="F7" i="2"/>
  <c r="F8" i="2"/>
  <c r="F5" i="2"/>
  <c r="E57" i="2"/>
  <c r="D57" i="2"/>
  <c r="C57" i="2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" i="2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" i="2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" i="2"/>
  <c r="L4" i="1"/>
  <c r="K4" i="1"/>
  <c r="J4" i="1"/>
  <c r="I14" i="1"/>
  <c r="K14" i="1" s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J14" i="1"/>
  <c r="F9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J30" i="1" s="1"/>
  <c r="I31" i="1"/>
  <c r="J31" i="1" s="1"/>
  <c r="I32" i="1"/>
  <c r="I33" i="1"/>
  <c r="I34" i="1"/>
  <c r="I35" i="1"/>
  <c r="I36" i="1"/>
  <c r="I37" i="1"/>
  <c r="I38" i="1"/>
  <c r="I39" i="1"/>
  <c r="J39" i="1" s="1"/>
  <c r="I40" i="1"/>
  <c r="I41" i="1"/>
  <c r="J41" i="1" s="1"/>
  <c r="I42" i="1"/>
  <c r="I43" i="1"/>
  <c r="I44" i="1"/>
  <c r="I45" i="1"/>
  <c r="I46" i="1"/>
  <c r="I47" i="1"/>
  <c r="I48" i="1"/>
  <c r="I49" i="1"/>
  <c r="J49" i="1" s="1"/>
  <c r="I50" i="1"/>
  <c r="I51" i="1"/>
  <c r="I52" i="1"/>
  <c r="I53" i="1"/>
  <c r="I54" i="1"/>
  <c r="I55" i="1"/>
  <c r="I56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14" i="1"/>
  <c r="C9" i="1"/>
  <c r="J56" i="1"/>
  <c r="J53" i="1"/>
  <c r="J51" i="1"/>
  <c r="J50" i="1"/>
  <c r="J47" i="1"/>
  <c r="J42" i="1"/>
  <c r="J40" i="1"/>
  <c r="J38" i="1"/>
  <c r="J34" i="1"/>
  <c r="J32" i="1"/>
  <c r="J29" i="1"/>
  <c r="J26" i="1"/>
  <c r="J25" i="1"/>
  <c r="J23" i="1"/>
  <c r="J21" i="1"/>
  <c r="J18" i="1"/>
  <c r="J15" i="1"/>
  <c r="C5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P3" i="2" l="1"/>
  <c r="O9" i="2"/>
  <c r="O17" i="2"/>
  <c r="O25" i="2"/>
  <c r="O33" i="2"/>
  <c r="O41" i="2"/>
  <c r="O49" i="2"/>
  <c r="O7" i="2"/>
  <c r="O15" i="2"/>
  <c r="O23" i="2"/>
  <c r="O31" i="2"/>
  <c r="O39" i="2"/>
  <c r="O47" i="2"/>
  <c r="O55" i="2"/>
  <c r="O5" i="2"/>
  <c r="O13" i="2"/>
  <c r="O21" i="2"/>
  <c r="O29" i="2"/>
  <c r="O37" i="2"/>
  <c r="O45" i="2"/>
  <c r="O53" i="2"/>
  <c r="N3" i="2"/>
  <c r="J3" i="2"/>
  <c r="J54" i="1"/>
  <c r="J55" i="1"/>
  <c r="G4" i="1"/>
  <c r="E4" i="1"/>
  <c r="J48" i="1"/>
  <c r="J16" i="1"/>
  <c r="J24" i="1"/>
  <c r="J19" i="1"/>
  <c r="J27" i="1"/>
  <c r="J35" i="1"/>
  <c r="J43" i="1"/>
  <c r="J22" i="1"/>
  <c r="J46" i="1"/>
  <c r="J17" i="1"/>
  <c r="J33" i="1"/>
  <c r="J20" i="1"/>
  <c r="J28" i="1"/>
  <c r="J36" i="1"/>
  <c r="J44" i="1"/>
  <c r="J52" i="1"/>
  <c r="J37" i="1"/>
  <c r="J45" i="1"/>
  <c r="O3" i="2" l="1"/>
  <c r="L3" i="2"/>
  <c r="K3" i="2"/>
  <c r="F4" i="1"/>
  <c r="H4" i="1" s="1"/>
</calcChain>
</file>

<file path=xl/sharedStrings.xml><?xml version="1.0" encoding="utf-8"?>
<sst xmlns="http://schemas.openxmlformats.org/spreadsheetml/2006/main" count="47" uniqueCount="24">
  <si>
    <t>Passengers</t>
  </si>
  <si>
    <t>Date</t>
  </si>
  <si>
    <t>Airport Passengers</t>
  </si>
  <si>
    <t>5-Week</t>
  </si>
  <si>
    <t>10-Week</t>
  </si>
  <si>
    <t>MAD</t>
  </si>
  <si>
    <t>MSE</t>
  </si>
  <si>
    <t>MAPE</t>
  </si>
  <si>
    <t>RMSE</t>
  </si>
  <si>
    <t xml:space="preserve"> </t>
  </si>
  <si>
    <t>Forecast 0,1</t>
  </si>
  <si>
    <t>Forecast 0,5</t>
  </si>
  <si>
    <t>Forecast 0,9</t>
  </si>
  <si>
    <t>Alpha 0,1</t>
  </si>
  <si>
    <t>Alpha 0,5</t>
  </si>
  <si>
    <t>Alpha 0,9</t>
  </si>
  <si>
    <t>Kesimpulan</t>
  </si>
  <si>
    <t xml:space="preserve">Hasil akhir menunjukkan bahwa nilai MAD, </t>
  </si>
  <si>
    <t xml:space="preserve">RMSE dan MAPE terkecil didapat pada </t>
  </si>
  <si>
    <t>model 10-Week Moving Average</t>
  </si>
  <si>
    <t xml:space="preserve">dan MAPE terkecil didapat pada </t>
  </si>
  <si>
    <t xml:space="preserve">Namun nilai RMSE terkecil didapat pada </t>
  </si>
  <si>
    <t>model 5-Week Moving Average</t>
  </si>
  <si>
    <t>model Exponential Smoothing dengan Alpha sebesar 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</si>
</sst>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7" fontId="2" fillId="0" borderId="0" xfId="0" applyNumberFormat="1" applyFont="1"/>
    <xf numFmtId="3" fontId="2" fillId="0" borderId="0" xfId="0" applyNumberFormat="1" applyFont="1"/>
    <xf numFmtId="0" fontId="0" fillId="0" borderId="1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8" xfId="0" applyFont="1" applyBorder="1"/>
    <xf numFmtId="0" fontId="2" fillId="0" borderId="1" xfId="0" applyFont="1" applyBorder="1"/>
    <xf numFmtId="9" fontId="2" fillId="0" borderId="1" xfId="0" applyNumberFormat="1" applyFont="1" applyBorder="1"/>
    <xf numFmtId="0" fontId="2" fillId="0" borderId="5" xfId="0" applyFont="1" applyBorder="1"/>
    <xf numFmtId="9" fontId="2" fillId="0" borderId="0" xfId="0" applyNumberFormat="1" applyFont="1"/>
    <xf numFmtId="3" fontId="2" fillId="2" borderId="0" xfId="0" applyNumberFormat="1" applyFont="1" applyFill="1"/>
    <xf numFmtId="0" fontId="2" fillId="2" borderId="0" xfId="0" applyFont="1" applyFill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'Moving Average'!$A$4:$A$57</c:f>
              <c:numCache>
                <c:formatCode>mmm\-yy</c:formatCode>
                <c:ptCount val="54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</c:numCache>
            </c:numRef>
          </c:xVal>
          <c:yVal>
            <c:numRef>
              <c:f>'Moving Average'!$B$4:$B$56</c:f>
              <c:numCache>
                <c:formatCode>#,##0</c:formatCode>
                <c:ptCount val="53"/>
                <c:pt idx="0">
                  <c:v>3204637</c:v>
                </c:pt>
                <c:pt idx="1">
                  <c:v>2966477</c:v>
                </c:pt>
                <c:pt idx="2">
                  <c:v>3593364</c:v>
                </c:pt>
                <c:pt idx="3">
                  <c:v>3604104</c:v>
                </c:pt>
                <c:pt idx="4">
                  <c:v>3933016</c:v>
                </c:pt>
                <c:pt idx="5">
                  <c:v>4146797</c:v>
                </c:pt>
                <c:pt idx="6">
                  <c:v>4176486</c:v>
                </c:pt>
                <c:pt idx="7">
                  <c:v>4347059</c:v>
                </c:pt>
                <c:pt idx="8">
                  <c:v>3781168</c:v>
                </c:pt>
                <c:pt idx="9">
                  <c:v>3872278</c:v>
                </c:pt>
                <c:pt idx="10">
                  <c:v>3902278</c:v>
                </c:pt>
                <c:pt idx="11">
                  <c:v>4302278</c:v>
                </c:pt>
                <c:pt idx="12">
                  <c:v>2644539</c:v>
                </c:pt>
                <c:pt idx="13">
                  <c:v>2359800</c:v>
                </c:pt>
                <c:pt idx="14">
                  <c:v>2925918</c:v>
                </c:pt>
                <c:pt idx="15">
                  <c:v>3024973</c:v>
                </c:pt>
                <c:pt idx="16">
                  <c:v>3177100</c:v>
                </c:pt>
                <c:pt idx="17">
                  <c:v>3419595</c:v>
                </c:pt>
                <c:pt idx="18">
                  <c:v>3649702</c:v>
                </c:pt>
                <c:pt idx="19">
                  <c:v>3650668</c:v>
                </c:pt>
                <c:pt idx="20">
                  <c:v>3191526</c:v>
                </c:pt>
                <c:pt idx="21">
                  <c:v>3249428</c:v>
                </c:pt>
                <c:pt idx="22">
                  <c:v>2971484</c:v>
                </c:pt>
                <c:pt idx="23">
                  <c:v>3074209</c:v>
                </c:pt>
                <c:pt idx="24">
                  <c:v>2785466</c:v>
                </c:pt>
                <c:pt idx="25">
                  <c:v>2515361</c:v>
                </c:pt>
                <c:pt idx="26">
                  <c:v>3105958</c:v>
                </c:pt>
                <c:pt idx="27">
                  <c:v>3139059</c:v>
                </c:pt>
                <c:pt idx="28">
                  <c:v>3380355</c:v>
                </c:pt>
                <c:pt idx="29">
                  <c:v>3612886</c:v>
                </c:pt>
                <c:pt idx="30">
                  <c:v>3765824</c:v>
                </c:pt>
                <c:pt idx="31">
                  <c:v>3771842</c:v>
                </c:pt>
                <c:pt idx="32">
                  <c:v>3356365</c:v>
                </c:pt>
                <c:pt idx="33">
                  <c:v>3490100</c:v>
                </c:pt>
                <c:pt idx="34">
                  <c:v>3163659</c:v>
                </c:pt>
                <c:pt idx="35">
                  <c:v>3167124</c:v>
                </c:pt>
                <c:pt idx="36">
                  <c:v>2883810</c:v>
                </c:pt>
                <c:pt idx="37">
                  <c:v>2610667</c:v>
                </c:pt>
                <c:pt idx="38">
                  <c:v>3129205</c:v>
                </c:pt>
                <c:pt idx="39">
                  <c:v>3200527</c:v>
                </c:pt>
                <c:pt idx="40">
                  <c:v>3547804</c:v>
                </c:pt>
                <c:pt idx="41">
                  <c:v>3766323</c:v>
                </c:pt>
                <c:pt idx="42">
                  <c:v>3935589</c:v>
                </c:pt>
                <c:pt idx="43">
                  <c:v>3917884</c:v>
                </c:pt>
                <c:pt idx="44">
                  <c:v>3564970</c:v>
                </c:pt>
                <c:pt idx="45">
                  <c:v>3602455</c:v>
                </c:pt>
                <c:pt idx="46">
                  <c:v>3326859</c:v>
                </c:pt>
                <c:pt idx="47">
                  <c:v>3441693</c:v>
                </c:pt>
                <c:pt idx="48">
                  <c:v>3211600</c:v>
                </c:pt>
                <c:pt idx="49">
                  <c:v>2998119</c:v>
                </c:pt>
                <c:pt idx="50">
                  <c:v>3472440</c:v>
                </c:pt>
                <c:pt idx="51">
                  <c:v>3563007</c:v>
                </c:pt>
                <c:pt idx="52">
                  <c:v>3820570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B0-4BC8-9F4D-2248CF434BE7}"/>
            </c:ext>
          </c:extLst>
        </c:ser>
        <c:ser>
          <c:idx val="1"/>
          <c:order val="1"/>
          <c:tx>
            <c:v>5-Week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'Moving Average'!$A$4:$A$57</c:f>
              <c:numCache>
                <c:formatCode>mmm\-yy</c:formatCode>
                <c:ptCount val="54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</c:numCache>
            </c:numRef>
          </c:xVal>
          <c:yVal>
            <c:numRef>
              <c:f>'Moving Average'!$C$4:$C$57</c:f>
              <c:numCache>
                <c:formatCode>General</c:formatCode>
                <c:ptCount val="54"/>
                <c:pt idx="5" formatCode="#,##0">
                  <c:v>3460319.6</c:v>
                </c:pt>
                <c:pt idx="6" formatCode="#,##0">
                  <c:v>3648751.6</c:v>
                </c:pt>
                <c:pt idx="7" formatCode="#,##0">
                  <c:v>3890753.4</c:v>
                </c:pt>
                <c:pt idx="8" formatCode="#,##0">
                  <c:v>4041492.4</c:v>
                </c:pt>
                <c:pt idx="9" formatCode="#,##0">
                  <c:v>4076905.2</c:v>
                </c:pt>
                <c:pt idx="10" formatCode="#,##0">
                  <c:v>4064757.6</c:v>
                </c:pt>
                <c:pt idx="11" formatCode="#,##0">
                  <c:v>4015853.8</c:v>
                </c:pt>
                <c:pt idx="12" formatCode="#,##0">
                  <c:v>4041012.2</c:v>
                </c:pt>
                <c:pt idx="13" formatCode="#,##0">
                  <c:v>3700508.2</c:v>
                </c:pt>
                <c:pt idx="14" formatCode="#,##0">
                  <c:v>3416234.6</c:v>
                </c:pt>
                <c:pt idx="15" formatCode="#,##0">
                  <c:v>3226962.6</c:v>
                </c:pt>
                <c:pt idx="16" formatCode="#,##0">
                  <c:v>3051501.6</c:v>
                </c:pt>
                <c:pt idx="17" formatCode="#,##0">
                  <c:v>2826466</c:v>
                </c:pt>
                <c:pt idx="18" formatCode="#,##0">
                  <c:v>2981477.2</c:v>
                </c:pt>
                <c:pt idx="19" formatCode="#,##0">
                  <c:v>3239457.6</c:v>
                </c:pt>
                <c:pt idx="20" formatCode="#,##0">
                  <c:v>3384407.6</c:v>
                </c:pt>
                <c:pt idx="21" formatCode="#,##0">
                  <c:v>3417718.2</c:v>
                </c:pt>
                <c:pt idx="22" formatCode="#,##0">
                  <c:v>3432183.8</c:v>
                </c:pt>
                <c:pt idx="23" formatCode="#,##0">
                  <c:v>3342561.6</c:v>
                </c:pt>
                <c:pt idx="24" formatCode="#,##0">
                  <c:v>3227463</c:v>
                </c:pt>
                <c:pt idx="25" formatCode="#,##0">
                  <c:v>3054422.6</c:v>
                </c:pt>
                <c:pt idx="26" formatCode="#,##0">
                  <c:v>2919189.6</c:v>
                </c:pt>
                <c:pt idx="27" formatCode="#,##0">
                  <c:v>2890495.6</c:v>
                </c:pt>
                <c:pt idx="28" formatCode="#,##0">
                  <c:v>2924010.6</c:v>
                </c:pt>
                <c:pt idx="29" formatCode="#,##0">
                  <c:v>2985239.8</c:v>
                </c:pt>
                <c:pt idx="30" formatCode="#,##0">
                  <c:v>3150723.8</c:v>
                </c:pt>
                <c:pt idx="31" formatCode="#,##0">
                  <c:v>3400816.4</c:v>
                </c:pt>
                <c:pt idx="32" formatCode="#,##0">
                  <c:v>3533993.2</c:v>
                </c:pt>
                <c:pt idx="33" formatCode="#,##0">
                  <c:v>3577454.4</c:v>
                </c:pt>
                <c:pt idx="34" formatCode="#,##0">
                  <c:v>3599403.4</c:v>
                </c:pt>
                <c:pt idx="35" formatCode="#,##0">
                  <c:v>3509558</c:v>
                </c:pt>
                <c:pt idx="36" formatCode="#,##0">
                  <c:v>3389818</c:v>
                </c:pt>
                <c:pt idx="37" formatCode="#,##0">
                  <c:v>3212211.6</c:v>
                </c:pt>
                <c:pt idx="38" formatCode="#,##0">
                  <c:v>3063072</c:v>
                </c:pt>
                <c:pt idx="39" formatCode="#,##0">
                  <c:v>2990893</c:v>
                </c:pt>
                <c:pt idx="40" formatCode="#,##0">
                  <c:v>2998266.6</c:v>
                </c:pt>
                <c:pt idx="41" formatCode="#,##0">
                  <c:v>3074402.6</c:v>
                </c:pt>
                <c:pt idx="42" formatCode="#,##0">
                  <c:v>3250905.2</c:v>
                </c:pt>
                <c:pt idx="43" formatCode="#,##0">
                  <c:v>3515889.6</c:v>
                </c:pt>
                <c:pt idx="44" formatCode="#,##0">
                  <c:v>3673625.4</c:v>
                </c:pt>
                <c:pt idx="45" formatCode="#,##0">
                  <c:v>3746514</c:v>
                </c:pt>
                <c:pt idx="46" formatCode="#,##0">
                  <c:v>3757444.2</c:v>
                </c:pt>
                <c:pt idx="47" formatCode="#,##0">
                  <c:v>3669551.4</c:v>
                </c:pt>
                <c:pt idx="48" formatCode="#,##0">
                  <c:v>3570772.2</c:v>
                </c:pt>
                <c:pt idx="49" formatCode="#,##0">
                  <c:v>3429515.4</c:v>
                </c:pt>
                <c:pt idx="50" formatCode="#,##0">
                  <c:v>3316145.2</c:v>
                </c:pt>
                <c:pt idx="51" formatCode="#,##0">
                  <c:v>3290142.2</c:v>
                </c:pt>
                <c:pt idx="52" formatCode="#,##0">
                  <c:v>3337371.8</c:v>
                </c:pt>
                <c:pt idx="53" formatCode="#,##0">
                  <c:v>3413147.2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B0-4BC8-9F4D-2248CF434BE7}"/>
            </c:ext>
          </c:extLst>
        </c:ser>
        <c:ser>
          <c:idx val="2"/>
          <c:order val="2"/>
          <c:tx>
            <c:v>10-Week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'Moving Average'!$A$4:$A$57</c:f>
              <c:numCache>
                <c:formatCode>mmm\-yy</c:formatCode>
                <c:ptCount val="54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</c:numCache>
            </c:numRef>
          </c:xVal>
          <c:yVal>
            <c:numRef>
              <c:f>'Moving Average'!$D$4:$D$57</c:f>
              <c:numCache>
                <c:formatCode>General</c:formatCode>
                <c:ptCount val="54"/>
                <c:pt idx="10" formatCode="#,##0">
                  <c:v>3762538.6</c:v>
                </c:pt>
                <c:pt idx="11" formatCode="#,##0">
                  <c:v>3832302.7</c:v>
                </c:pt>
                <c:pt idx="12" formatCode="#,##0">
                  <c:v>3965882.8</c:v>
                </c:pt>
                <c:pt idx="13" formatCode="#,##0">
                  <c:v>3871000.3</c:v>
                </c:pt>
                <c:pt idx="14" formatCode="#,##0">
                  <c:v>3746569.9</c:v>
                </c:pt>
                <c:pt idx="15" formatCode="#,##0">
                  <c:v>3645860.1</c:v>
                </c:pt>
                <c:pt idx="16" formatCode="#,##0">
                  <c:v>3533677.7</c:v>
                </c:pt>
                <c:pt idx="17" formatCode="#,##0">
                  <c:v>3433739.1</c:v>
                </c:pt>
                <c:pt idx="18" formatCode="#,##0">
                  <c:v>3340992.7</c:v>
                </c:pt>
                <c:pt idx="19" formatCode="#,##0">
                  <c:v>3327846.1</c:v>
                </c:pt>
                <c:pt idx="20" formatCode="#,##0">
                  <c:v>3305685.1</c:v>
                </c:pt>
                <c:pt idx="21" formatCode="#,##0">
                  <c:v>3234609.9</c:v>
                </c:pt>
                <c:pt idx="22" formatCode="#,##0">
                  <c:v>3129324.9</c:v>
                </c:pt>
                <c:pt idx="23" formatCode="#,##0">
                  <c:v>3162019.4</c:v>
                </c:pt>
                <c:pt idx="24" formatCode="#,##0">
                  <c:v>3233460.3</c:v>
                </c:pt>
                <c:pt idx="25" formatCode="#,##0">
                  <c:v>3219415.1</c:v>
                </c:pt>
                <c:pt idx="26" formatCode="#,##0">
                  <c:v>3168453.9</c:v>
                </c:pt>
                <c:pt idx="27" formatCode="#,##0">
                  <c:v>3161339.7</c:v>
                </c:pt>
                <c:pt idx="28" formatCode="#,##0">
                  <c:v>3133286.1</c:v>
                </c:pt>
                <c:pt idx="29" formatCode="#,##0">
                  <c:v>3106351.4</c:v>
                </c:pt>
                <c:pt idx="30" formatCode="#,##0">
                  <c:v>3102573.2</c:v>
                </c:pt>
                <c:pt idx="31" formatCode="#,##0">
                  <c:v>3160003</c:v>
                </c:pt>
                <c:pt idx="32" formatCode="#,##0">
                  <c:v>3212244.4</c:v>
                </c:pt>
                <c:pt idx="33" formatCode="#,##0">
                  <c:v>3250732.5</c:v>
                </c:pt>
                <c:pt idx="34" formatCode="#,##0">
                  <c:v>3292321.6</c:v>
                </c:pt>
                <c:pt idx="35" formatCode="#,##0">
                  <c:v>3330140.9</c:v>
                </c:pt>
                <c:pt idx="36" formatCode="#,##0">
                  <c:v>3395317.2</c:v>
                </c:pt>
                <c:pt idx="37" formatCode="#,##0">
                  <c:v>3373102.4</c:v>
                </c:pt>
                <c:pt idx="38" formatCode="#,##0">
                  <c:v>3320263.2</c:v>
                </c:pt>
                <c:pt idx="39" formatCode="#,##0">
                  <c:v>3295148.2</c:v>
                </c:pt>
                <c:pt idx="40" formatCode="#,##0">
                  <c:v>3253912.3</c:v>
                </c:pt>
                <c:pt idx="41" formatCode="#,##0">
                  <c:v>3232110.3</c:v>
                </c:pt>
                <c:pt idx="42" formatCode="#,##0">
                  <c:v>3231558.4</c:v>
                </c:pt>
                <c:pt idx="43" formatCode="#,##0">
                  <c:v>3289480.8</c:v>
                </c:pt>
                <c:pt idx="44" formatCode="#,##0">
                  <c:v>3332259.2</c:v>
                </c:pt>
                <c:pt idx="45" formatCode="#,##0">
                  <c:v>3372390.3</c:v>
                </c:pt>
                <c:pt idx="46" formatCode="#,##0">
                  <c:v>3415923.4</c:v>
                </c:pt>
                <c:pt idx="47" formatCode="#,##0">
                  <c:v>3460228.3</c:v>
                </c:pt>
                <c:pt idx="48" formatCode="#,##0">
                  <c:v>3543330.9</c:v>
                </c:pt>
                <c:pt idx="49" formatCode="#,##0">
                  <c:v>3551570.4</c:v>
                </c:pt>
                <c:pt idx="50" formatCode="#,##0">
                  <c:v>3531329.6</c:v>
                </c:pt>
                <c:pt idx="51" formatCode="#,##0">
                  <c:v>3523793.2</c:v>
                </c:pt>
                <c:pt idx="52" formatCode="#,##0">
                  <c:v>3503461.6</c:v>
                </c:pt>
                <c:pt idx="53" formatCode="#,##0">
                  <c:v>3491959.7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B0-4BC8-9F4D-2248CF434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82783"/>
        <c:axId val="1979718671"/>
      </c:scatterChart>
      <c:valAx>
        <c:axId val="209878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718671"/>
        <c:crosses val="autoZero"/>
        <c:crossBetween val="midCat"/>
      </c:valAx>
      <c:valAx>
        <c:axId val="19797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Airport Passangers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82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Exponential Smoothing Forecasting</a:t>
            </a:r>
          </a:p>
        </c:rich>
      </c:tx>
      <c:layout>
        <c:manualLayout>
          <c:xMode val="edge"/>
          <c:yMode val="edge"/>
          <c:x val="0.24539456722499056"/>
          <c:y val="2.5058731401722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'Exponential Smoothing'!$A$4:$A$57</c:f>
              <c:numCache>
                <c:formatCode>mmm\-yy</c:formatCode>
                <c:ptCount val="54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</c:numCache>
            </c:numRef>
          </c:xVal>
          <c:yVal>
            <c:numRef>
              <c:f>'Exponential Smoothing'!$B$4:$B$56</c:f>
              <c:numCache>
                <c:formatCode>#,##0</c:formatCode>
                <c:ptCount val="53"/>
                <c:pt idx="0">
                  <c:v>3204637</c:v>
                </c:pt>
                <c:pt idx="1">
                  <c:v>2966477</c:v>
                </c:pt>
                <c:pt idx="2">
                  <c:v>3593364</c:v>
                </c:pt>
                <c:pt idx="3">
                  <c:v>3604104</c:v>
                </c:pt>
                <c:pt idx="4">
                  <c:v>3933016</c:v>
                </c:pt>
                <c:pt idx="5">
                  <c:v>4146797</c:v>
                </c:pt>
                <c:pt idx="6">
                  <c:v>4176486</c:v>
                </c:pt>
                <c:pt idx="7">
                  <c:v>4347059</c:v>
                </c:pt>
                <c:pt idx="8">
                  <c:v>3781168</c:v>
                </c:pt>
                <c:pt idx="9">
                  <c:v>3872278</c:v>
                </c:pt>
                <c:pt idx="10">
                  <c:v>3902278</c:v>
                </c:pt>
                <c:pt idx="11">
                  <c:v>4302278</c:v>
                </c:pt>
                <c:pt idx="12">
                  <c:v>2644539</c:v>
                </c:pt>
                <c:pt idx="13">
                  <c:v>2359800</c:v>
                </c:pt>
                <c:pt idx="14">
                  <c:v>2925918</c:v>
                </c:pt>
                <c:pt idx="15">
                  <c:v>3024973</c:v>
                </c:pt>
                <c:pt idx="16">
                  <c:v>3177100</c:v>
                </c:pt>
                <c:pt idx="17">
                  <c:v>3419595</c:v>
                </c:pt>
                <c:pt idx="18">
                  <c:v>3649702</c:v>
                </c:pt>
                <c:pt idx="19">
                  <c:v>3650668</c:v>
                </c:pt>
                <c:pt idx="20">
                  <c:v>3191526</c:v>
                </c:pt>
                <c:pt idx="21">
                  <c:v>3249428</c:v>
                </c:pt>
                <c:pt idx="22">
                  <c:v>2971484</c:v>
                </c:pt>
                <c:pt idx="23">
                  <c:v>3074209</c:v>
                </c:pt>
                <c:pt idx="24">
                  <c:v>2785466</c:v>
                </c:pt>
                <c:pt idx="25">
                  <c:v>2515361</c:v>
                </c:pt>
                <c:pt idx="26">
                  <c:v>3105958</c:v>
                </c:pt>
                <c:pt idx="27">
                  <c:v>3139059</c:v>
                </c:pt>
                <c:pt idx="28">
                  <c:v>3380355</c:v>
                </c:pt>
                <c:pt idx="29">
                  <c:v>3612886</c:v>
                </c:pt>
                <c:pt idx="30">
                  <c:v>3765824</c:v>
                </c:pt>
                <c:pt idx="31">
                  <c:v>3771842</c:v>
                </c:pt>
                <c:pt idx="32">
                  <c:v>3356365</c:v>
                </c:pt>
                <c:pt idx="33">
                  <c:v>3490100</c:v>
                </c:pt>
                <c:pt idx="34">
                  <c:v>3163659</c:v>
                </c:pt>
                <c:pt idx="35">
                  <c:v>3167124</c:v>
                </c:pt>
                <c:pt idx="36">
                  <c:v>2883810</c:v>
                </c:pt>
                <c:pt idx="37">
                  <c:v>2610667</c:v>
                </c:pt>
                <c:pt idx="38">
                  <c:v>3129205</c:v>
                </c:pt>
                <c:pt idx="39">
                  <c:v>3200527</c:v>
                </c:pt>
                <c:pt idx="40">
                  <c:v>3547804</c:v>
                </c:pt>
                <c:pt idx="41">
                  <c:v>3766323</c:v>
                </c:pt>
                <c:pt idx="42">
                  <c:v>3935589</c:v>
                </c:pt>
                <c:pt idx="43">
                  <c:v>3917884</c:v>
                </c:pt>
                <c:pt idx="44">
                  <c:v>3564970</c:v>
                </c:pt>
                <c:pt idx="45">
                  <c:v>3602455</c:v>
                </c:pt>
                <c:pt idx="46">
                  <c:v>3326859</c:v>
                </c:pt>
                <c:pt idx="47">
                  <c:v>3441693</c:v>
                </c:pt>
                <c:pt idx="48">
                  <c:v>3211600</c:v>
                </c:pt>
                <c:pt idx="49">
                  <c:v>2998119</c:v>
                </c:pt>
                <c:pt idx="50">
                  <c:v>3472440</c:v>
                </c:pt>
                <c:pt idx="51">
                  <c:v>3563007</c:v>
                </c:pt>
                <c:pt idx="52">
                  <c:v>3820570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8B-421E-AC22-C9D72E38CA80}"/>
            </c:ext>
          </c:extLst>
        </c:ser>
        <c:ser>
          <c:idx val="1"/>
          <c:order val="1"/>
          <c:tx>
            <c:v>Forecast 0,9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'Exponential Smoothing'!$A$4:$A$57</c:f>
              <c:numCache>
                <c:formatCode>mmm\-yy</c:formatCode>
                <c:ptCount val="54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</c:numCache>
            </c:numRef>
          </c:xVal>
          <c:yVal>
            <c:numRef>
              <c:f>'Exponential Smoothing'!$C$4:$C$57</c:f>
              <c:numCache>
                <c:formatCode>#,##0</c:formatCode>
                <c:ptCount val="54"/>
                <c:pt idx="0" formatCode="General">
                  <c:v>#N/A</c:v>
                </c:pt>
                <c:pt idx="1">
                  <c:v>3204637</c:v>
                </c:pt>
                <c:pt idx="2" formatCode="General">
                  <c:v>3180821.0000000005</c:v>
                </c:pt>
                <c:pt idx="3" formatCode="General">
                  <c:v>3222075.3000000003</c:v>
                </c:pt>
                <c:pt idx="4" formatCode="General">
                  <c:v>3260278.1700000004</c:v>
                </c:pt>
                <c:pt idx="5" formatCode="General">
                  <c:v>3327551.9530000007</c:v>
                </c:pt>
                <c:pt idx="6" formatCode="General">
                  <c:v>3409476.4577000011</c:v>
                </c:pt>
                <c:pt idx="7" formatCode="General">
                  <c:v>3486177.4119300013</c:v>
                </c:pt>
                <c:pt idx="8" formatCode="General">
                  <c:v>3572265.570737001</c:v>
                </c:pt>
                <c:pt idx="9" formatCode="General">
                  <c:v>3593155.8136633011</c:v>
                </c:pt>
                <c:pt idx="10" formatCode="General">
                  <c:v>3621068.0322969714</c:v>
                </c:pt>
                <c:pt idx="11" formatCode="General">
                  <c:v>3649189.0290672742</c:v>
                </c:pt>
                <c:pt idx="12" formatCode="General">
                  <c:v>3714497.926160547</c:v>
                </c:pt>
                <c:pt idx="13" formatCode="General">
                  <c:v>3607502.0335444924</c:v>
                </c:pt>
                <c:pt idx="14" formatCode="General">
                  <c:v>3482731.8301900434</c:v>
                </c:pt>
                <c:pt idx="15" formatCode="General">
                  <c:v>3427050.4471710389</c:v>
                </c:pt>
                <c:pt idx="16" formatCode="General">
                  <c:v>3386842.7024539351</c:v>
                </c:pt>
                <c:pt idx="17" formatCode="General">
                  <c:v>3365868.4322085418</c:v>
                </c:pt>
                <c:pt idx="18" formatCode="General">
                  <c:v>3371241.0889876876</c:v>
                </c:pt>
                <c:pt idx="19" formatCode="General">
                  <c:v>3399087.1800889191</c:v>
                </c:pt>
                <c:pt idx="20" formatCode="General">
                  <c:v>3424245.2620800277</c:v>
                </c:pt>
                <c:pt idx="21" formatCode="General">
                  <c:v>3400973.3358720252</c:v>
                </c:pt>
                <c:pt idx="22" formatCode="General">
                  <c:v>3385818.8022848228</c:v>
                </c:pt>
                <c:pt idx="23" formatCode="General">
                  <c:v>3344385.3220563405</c:v>
                </c:pt>
                <c:pt idx="24" formatCode="General">
                  <c:v>3317367.6898507066</c:v>
                </c:pt>
                <c:pt idx="25" formatCode="General">
                  <c:v>3264177.5208656359</c:v>
                </c:pt>
                <c:pt idx="26" formatCode="General">
                  <c:v>3189295.8687790725</c:v>
                </c:pt>
                <c:pt idx="27" formatCode="General">
                  <c:v>3180962.0819011652</c:v>
                </c:pt>
                <c:pt idx="28" formatCode="General">
                  <c:v>3176771.7737110485</c:v>
                </c:pt>
                <c:pt idx="29" formatCode="General">
                  <c:v>3197130.0963399438</c:v>
                </c:pt>
                <c:pt idx="30" formatCode="General">
                  <c:v>3238705.6867059497</c:v>
                </c:pt>
                <c:pt idx="31" formatCode="General">
                  <c:v>3291417.5180353546</c:v>
                </c:pt>
                <c:pt idx="32" formatCode="General">
                  <c:v>3339459.9662318192</c:v>
                </c:pt>
                <c:pt idx="33" formatCode="General">
                  <c:v>3341150.4696086375</c:v>
                </c:pt>
                <c:pt idx="34" formatCode="General">
                  <c:v>3356045.4226477738</c:v>
                </c:pt>
                <c:pt idx="35" formatCode="General">
                  <c:v>3336806.7803829964</c:v>
                </c:pt>
                <c:pt idx="36" formatCode="General">
                  <c:v>3319838.5023446968</c:v>
                </c:pt>
                <c:pt idx="37" formatCode="General">
                  <c:v>3276235.6521102274</c:v>
                </c:pt>
                <c:pt idx="38" formatCode="General">
                  <c:v>3209678.7868992048</c:v>
                </c:pt>
                <c:pt idx="39" formatCode="General">
                  <c:v>3201631.4082092843</c:v>
                </c:pt>
                <c:pt idx="40" formatCode="General">
                  <c:v>3201520.9673883561</c:v>
                </c:pt>
                <c:pt idx="41" formatCode="General">
                  <c:v>3236149.2706495207</c:v>
                </c:pt>
                <c:pt idx="42" formatCode="General">
                  <c:v>3289166.643584569</c:v>
                </c:pt>
                <c:pt idx="43" formatCode="General">
                  <c:v>3353808.8792261123</c:v>
                </c:pt>
                <c:pt idx="44" formatCode="General">
                  <c:v>3410216.3913035011</c:v>
                </c:pt>
                <c:pt idx="45" formatCode="General">
                  <c:v>3425691.7521731509</c:v>
                </c:pt>
                <c:pt idx="46" formatCode="General">
                  <c:v>3443368.0769558358</c:v>
                </c:pt>
                <c:pt idx="47" formatCode="General">
                  <c:v>3431717.1692602523</c:v>
                </c:pt>
                <c:pt idx="48" formatCode="General">
                  <c:v>3432714.7523342269</c:v>
                </c:pt>
                <c:pt idx="49" formatCode="General">
                  <c:v>3410603.2771008043</c:v>
                </c:pt>
                <c:pt idx="50" formatCode="General">
                  <c:v>3369354.8493907237</c:v>
                </c:pt>
                <c:pt idx="51" formatCode="General">
                  <c:v>3379663.3644516515</c:v>
                </c:pt>
                <c:pt idx="52" formatCode="General">
                  <c:v>3397997.7280064868</c:v>
                </c:pt>
                <c:pt idx="53" formatCode="General">
                  <c:v>3440254.9552058382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8B-421E-AC22-C9D72E38CA80}"/>
            </c:ext>
          </c:extLst>
        </c:ser>
        <c:ser>
          <c:idx val="2"/>
          <c:order val="2"/>
          <c:tx>
            <c:v>Forecast 0,5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'Exponential Smoothing'!$A$4:$A$57</c:f>
              <c:numCache>
                <c:formatCode>mmm\-yy</c:formatCode>
                <c:ptCount val="54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</c:numCache>
            </c:numRef>
          </c:xVal>
          <c:yVal>
            <c:numRef>
              <c:f>'Exponential Smoothing'!$D$4:$D$57</c:f>
              <c:numCache>
                <c:formatCode>#,##0</c:formatCode>
                <c:ptCount val="54"/>
                <c:pt idx="0" formatCode="General">
                  <c:v>#N/A</c:v>
                </c:pt>
                <c:pt idx="1">
                  <c:v>3204637</c:v>
                </c:pt>
                <c:pt idx="2" formatCode="General">
                  <c:v>3085557</c:v>
                </c:pt>
                <c:pt idx="3" formatCode="General">
                  <c:v>3339460.5</c:v>
                </c:pt>
                <c:pt idx="4" formatCode="General">
                  <c:v>3471782.25</c:v>
                </c:pt>
                <c:pt idx="5" formatCode="General">
                  <c:v>3702399.125</c:v>
                </c:pt>
                <c:pt idx="6" formatCode="General">
                  <c:v>3924598.0625</c:v>
                </c:pt>
                <c:pt idx="7" formatCode="General">
                  <c:v>4050542.03125</c:v>
                </c:pt>
                <c:pt idx="8" formatCode="General">
                  <c:v>4198800.515625</c:v>
                </c:pt>
                <c:pt idx="9" formatCode="General">
                  <c:v>3989984.2578125</c:v>
                </c:pt>
                <c:pt idx="10" formatCode="General">
                  <c:v>3931131.12890625</c:v>
                </c:pt>
                <c:pt idx="11" formatCode="General">
                  <c:v>3916704.564453125</c:v>
                </c:pt>
                <c:pt idx="12" formatCode="General">
                  <c:v>4109491.2822265625</c:v>
                </c:pt>
                <c:pt idx="13" formatCode="General">
                  <c:v>3377015.1411132813</c:v>
                </c:pt>
                <c:pt idx="14" formatCode="General">
                  <c:v>2868407.5705566406</c:v>
                </c:pt>
                <c:pt idx="15" formatCode="General">
                  <c:v>2897162.7852783203</c:v>
                </c:pt>
                <c:pt idx="16" formatCode="General">
                  <c:v>2961067.8926391602</c:v>
                </c:pt>
                <c:pt idx="17" formatCode="General">
                  <c:v>3069083.9463195801</c:v>
                </c:pt>
                <c:pt idx="18" formatCode="General">
                  <c:v>3244339.47315979</c:v>
                </c:pt>
                <c:pt idx="19" formatCode="General">
                  <c:v>3447020.736579895</c:v>
                </c:pt>
                <c:pt idx="20" formatCode="General">
                  <c:v>3548844.3682899475</c:v>
                </c:pt>
                <c:pt idx="21" formatCode="General">
                  <c:v>3370185.1841449738</c:v>
                </c:pt>
                <c:pt idx="22" formatCode="General">
                  <c:v>3309806.5920724869</c:v>
                </c:pt>
                <c:pt idx="23" formatCode="General">
                  <c:v>3140645.2960362434</c:v>
                </c:pt>
                <c:pt idx="24" formatCode="General">
                  <c:v>3107427.1480181217</c:v>
                </c:pt>
                <c:pt idx="25" formatCode="General">
                  <c:v>2946446.5740090609</c:v>
                </c:pt>
                <c:pt idx="26" formatCode="General">
                  <c:v>2730903.7870045304</c:v>
                </c:pt>
                <c:pt idx="27" formatCode="General">
                  <c:v>2918430.8935022652</c:v>
                </c:pt>
                <c:pt idx="28" formatCode="General">
                  <c:v>3028744.9467511326</c:v>
                </c:pt>
                <c:pt idx="29" formatCode="General">
                  <c:v>3204549.9733755663</c:v>
                </c:pt>
                <c:pt idx="30" formatCode="General">
                  <c:v>3408717.9866877832</c:v>
                </c:pt>
                <c:pt idx="31" formatCode="General">
                  <c:v>3587270.9933438916</c:v>
                </c:pt>
                <c:pt idx="32" formatCode="General">
                  <c:v>3679556.4966719458</c:v>
                </c:pt>
                <c:pt idx="33" formatCode="General">
                  <c:v>3517960.7483359729</c:v>
                </c:pt>
                <c:pt idx="34" formatCode="General">
                  <c:v>3504030.3741679862</c:v>
                </c:pt>
                <c:pt idx="35" formatCode="General">
                  <c:v>3333844.6870839931</c:v>
                </c:pt>
                <c:pt idx="36" formatCode="General">
                  <c:v>3250484.3435419966</c:v>
                </c:pt>
                <c:pt idx="37" formatCode="General">
                  <c:v>3067147.1717709983</c:v>
                </c:pt>
                <c:pt idx="38" formatCode="General">
                  <c:v>2838907.0858854991</c:v>
                </c:pt>
                <c:pt idx="39" formatCode="General">
                  <c:v>2984056.0429427493</c:v>
                </c:pt>
                <c:pt idx="40" formatCode="General">
                  <c:v>3092291.5214713747</c:v>
                </c:pt>
                <c:pt idx="41" formatCode="General">
                  <c:v>3320047.7607356873</c:v>
                </c:pt>
                <c:pt idx="42" formatCode="General">
                  <c:v>3543185.3803678434</c:v>
                </c:pt>
                <c:pt idx="43" formatCode="General">
                  <c:v>3739387.1901839217</c:v>
                </c:pt>
                <c:pt idx="44" formatCode="General">
                  <c:v>3828635.5950919609</c:v>
                </c:pt>
                <c:pt idx="45" formatCode="General">
                  <c:v>3696802.7975459807</c:v>
                </c:pt>
                <c:pt idx="46" formatCode="General">
                  <c:v>3649628.8987729903</c:v>
                </c:pt>
                <c:pt idx="47" formatCode="General">
                  <c:v>3488243.9493864952</c:v>
                </c:pt>
                <c:pt idx="48" formatCode="General">
                  <c:v>3464968.4746932476</c:v>
                </c:pt>
                <c:pt idx="49" formatCode="General">
                  <c:v>3338284.237346624</c:v>
                </c:pt>
                <c:pt idx="50" formatCode="General">
                  <c:v>3168201.618673312</c:v>
                </c:pt>
                <c:pt idx="51" formatCode="General">
                  <c:v>3320320.8093366558</c:v>
                </c:pt>
                <c:pt idx="52" formatCode="General">
                  <c:v>3441663.9046683279</c:v>
                </c:pt>
                <c:pt idx="53" formatCode="General">
                  <c:v>3631116.9523341637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8B-421E-AC22-C9D72E38CA80}"/>
            </c:ext>
          </c:extLst>
        </c:ser>
        <c:ser>
          <c:idx val="3"/>
          <c:order val="3"/>
          <c:tx>
            <c:v>Forecast 0,1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'Exponential Smoothing'!$A$4:$A$57</c:f>
              <c:numCache>
                <c:formatCode>mmm\-yy</c:formatCode>
                <c:ptCount val="54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</c:numCache>
            </c:numRef>
          </c:xVal>
          <c:yVal>
            <c:numRef>
              <c:f>'Exponential Smoothing'!$E$4:$E$57</c:f>
              <c:numCache>
                <c:formatCode>#,##0</c:formatCode>
                <c:ptCount val="54"/>
                <c:pt idx="0" formatCode="General">
                  <c:v>#N/A</c:v>
                </c:pt>
                <c:pt idx="1">
                  <c:v>3204637</c:v>
                </c:pt>
                <c:pt idx="2" formatCode="General">
                  <c:v>2990293.0000000005</c:v>
                </c:pt>
                <c:pt idx="3" formatCode="General">
                  <c:v>3533056.9000000004</c:v>
                </c:pt>
                <c:pt idx="4" formatCode="General">
                  <c:v>3596999.29</c:v>
                </c:pt>
                <c:pt idx="5" formatCode="General">
                  <c:v>3899414.3289999999</c:v>
                </c:pt>
                <c:pt idx="6" formatCode="General">
                  <c:v>4122058.7329000002</c:v>
                </c:pt>
                <c:pt idx="7" formatCode="General">
                  <c:v>4171043.2732899999</c:v>
                </c:pt>
                <c:pt idx="8" formatCode="General">
                  <c:v>4329457.4273290001</c:v>
                </c:pt>
                <c:pt idx="9" formatCode="General">
                  <c:v>3835996.9427329004</c:v>
                </c:pt>
                <c:pt idx="10" formatCode="General">
                  <c:v>3868649.8942732904</c:v>
                </c:pt>
                <c:pt idx="11" formatCode="General">
                  <c:v>3898915.1894273292</c:v>
                </c:pt>
                <c:pt idx="12" formatCode="General">
                  <c:v>4261941.7189427335</c:v>
                </c:pt>
                <c:pt idx="13" formatCode="General">
                  <c:v>2806279.2718942733</c:v>
                </c:pt>
                <c:pt idx="14" formatCode="General">
                  <c:v>2404447.9271894274</c:v>
                </c:pt>
                <c:pt idx="15" formatCode="General">
                  <c:v>2873770.9927189429</c:v>
                </c:pt>
                <c:pt idx="16" formatCode="General">
                  <c:v>3009852.7992718946</c:v>
                </c:pt>
                <c:pt idx="17" formatCode="General">
                  <c:v>3160375.2799271895</c:v>
                </c:pt>
                <c:pt idx="18" formatCode="General">
                  <c:v>3393673.0279927189</c:v>
                </c:pt>
                <c:pt idx="19" formatCode="General">
                  <c:v>3624099.1027992722</c:v>
                </c:pt>
                <c:pt idx="20" formatCode="General">
                  <c:v>3648011.1102799275</c:v>
                </c:pt>
                <c:pt idx="21" formatCode="General">
                  <c:v>3237174.5110279927</c:v>
                </c:pt>
                <c:pt idx="22" formatCode="General">
                  <c:v>3248202.6511027995</c:v>
                </c:pt>
                <c:pt idx="23" formatCode="General">
                  <c:v>2999155.86511028</c:v>
                </c:pt>
                <c:pt idx="24" formatCode="General">
                  <c:v>3066703.6865110281</c:v>
                </c:pt>
                <c:pt idx="25" formatCode="General">
                  <c:v>2813589.7686511027</c:v>
                </c:pt>
                <c:pt idx="26" formatCode="General">
                  <c:v>2545183.8768651104</c:v>
                </c:pt>
                <c:pt idx="27" formatCode="General">
                  <c:v>3049880.5876865112</c:v>
                </c:pt>
                <c:pt idx="28" formatCode="General">
                  <c:v>3130141.1587686511</c:v>
                </c:pt>
                <c:pt idx="29" formatCode="General">
                  <c:v>3355333.6158768651</c:v>
                </c:pt>
                <c:pt idx="30" formatCode="General">
                  <c:v>3587130.7615876864</c:v>
                </c:pt>
                <c:pt idx="31" formatCode="General">
                  <c:v>3747954.6761587686</c:v>
                </c:pt>
                <c:pt idx="32" formatCode="General">
                  <c:v>3769453.2676158771</c:v>
                </c:pt>
                <c:pt idx="33" formatCode="General">
                  <c:v>3397673.8267615875</c:v>
                </c:pt>
                <c:pt idx="34" formatCode="General">
                  <c:v>3480857.382676159</c:v>
                </c:pt>
                <c:pt idx="35" formatCode="General">
                  <c:v>3195378.838267616</c:v>
                </c:pt>
                <c:pt idx="36" formatCode="General">
                  <c:v>3169949.4838267616</c:v>
                </c:pt>
                <c:pt idx="37" formatCode="General">
                  <c:v>2912423.9483826761</c:v>
                </c:pt>
                <c:pt idx="38" formatCode="General">
                  <c:v>2640842.6948382678</c:v>
                </c:pt>
                <c:pt idx="39" formatCode="General">
                  <c:v>3080368.7694838266</c:v>
                </c:pt>
                <c:pt idx="40" formatCode="General">
                  <c:v>3188511.176948383</c:v>
                </c:pt>
                <c:pt idx="41" formatCode="General">
                  <c:v>3511874.7176948385</c:v>
                </c:pt>
                <c:pt idx="42" formatCode="General">
                  <c:v>3740878.1717694839</c:v>
                </c:pt>
                <c:pt idx="43" formatCode="General">
                  <c:v>3916117.9171769484</c:v>
                </c:pt>
                <c:pt idx="44" formatCode="General">
                  <c:v>3917707.3917176947</c:v>
                </c:pt>
                <c:pt idx="45" formatCode="General">
                  <c:v>3600243.7391717695</c:v>
                </c:pt>
                <c:pt idx="46" formatCode="General">
                  <c:v>3602233.8739171769</c:v>
                </c:pt>
                <c:pt idx="47" formatCode="General">
                  <c:v>3354396.4873917177</c:v>
                </c:pt>
                <c:pt idx="48" formatCode="General">
                  <c:v>3432963.3487391719</c:v>
                </c:pt>
                <c:pt idx="49" formatCode="General">
                  <c:v>3233736.334873917</c:v>
                </c:pt>
                <c:pt idx="50" formatCode="General">
                  <c:v>3021680.7334873918</c:v>
                </c:pt>
                <c:pt idx="51" formatCode="General">
                  <c:v>3427364.0733487392</c:v>
                </c:pt>
                <c:pt idx="52" formatCode="General">
                  <c:v>3549442.7073348742</c:v>
                </c:pt>
                <c:pt idx="53" formatCode="General">
                  <c:v>3793457.2707334873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8B-421E-AC22-C9D72E38C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480111"/>
        <c:axId val="1837773615"/>
      </c:scatterChart>
      <c:valAx>
        <c:axId val="131748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773615"/>
        <c:crosses val="autoZero"/>
        <c:crossBetween val="midCat"/>
      </c:valAx>
      <c:valAx>
        <c:axId val="183777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Airport Passangers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8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549274</xdr:colOff>
      <xdr:row>0</xdr:row>
      <xdr:rowOff>187324</xdr:rowOff>
    </xdr:from>
    <xdr:to>
      <xdr:col>22</xdr:col>
      <xdr:colOff>184149</xdr:colOff>
      <xdr:row>18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E1C91-B753-5FA3-7299-27C34E0B4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219074</xdr:colOff>
      <xdr:row>0</xdr:row>
      <xdr:rowOff>136524</xdr:rowOff>
    </xdr:from>
    <xdr:to>
      <xdr:col>27</xdr:col>
      <xdr:colOff>38099</xdr:colOff>
      <xdr:row>21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45D33-00D8-F850-991F-922424842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workbookViewId="0">
      <selection activeCell="I8" sqref="I8"/>
    </sheetView>
  </sheetViews>
  <sheetFormatPr defaultRowHeight="15.5" x14ac:dyDescent="0.35"/>
  <cols>
    <col min="1" max="1" width="8.90625" style="2" bestFit="1" customWidth="1"/>
    <col min="2" max="2" width="22.90625" style="2" bestFit="1" customWidth="1"/>
    <col min="3" max="4" width="10.54296875" bestFit="1" customWidth="1"/>
    <col min="5" max="5" width="11.6328125" bestFit="1" customWidth="1"/>
    <col min="6" max="6" width="14.453125" bestFit="1" customWidth="1"/>
    <col min="7" max="7" width="8.90625" bestFit="1" customWidth="1"/>
    <col min="8" max="8" width="11.6328125" bestFit="1" customWidth="1"/>
    <col min="9" max="9" width="12" bestFit="1" customWidth="1"/>
    <col min="10" max="10" width="14.453125" bestFit="1" customWidth="1"/>
    <col min="11" max="11" width="8.90625" bestFit="1" customWidth="1"/>
    <col min="12" max="12" width="10.453125" bestFit="1" customWidth="1"/>
  </cols>
  <sheetData>
    <row r="1" spans="1:12" x14ac:dyDescent="0.35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C2" s="2"/>
      <c r="D2" s="2"/>
      <c r="E2" s="21" t="s">
        <v>3</v>
      </c>
      <c r="F2" s="22"/>
      <c r="G2" s="22"/>
      <c r="H2" s="23"/>
      <c r="I2" s="21" t="s">
        <v>4</v>
      </c>
      <c r="J2" s="22"/>
      <c r="K2" s="22"/>
      <c r="L2" s="23"/>
    </row>
    <row r="3" spans="1:12" x14ac:dyDescent="0.35">
      <c r="A3" s="1" t="s">
        <v>1</v>
      </c>
      <c r="B3" s="1" t="s">
        <v>2</v>
      </c>
      <c r="C3" s="1" t="s">
        <v>3</v>
      </c>
      <c r="D3" s="1" t="s">
        <v>4</v>
      </c>
      <c r="E3" s="27" t="s">
        <v>5</v>
      </c>
      <c r="F3" s="28" t="s">
        <v>6</v>
      </c>
      <c r="G3" s="28" t="s">
        <v>7</v>
      </c>
      <c r="H3" s="29" t="s">
        <v>8</v>
      </c>
      <c r="I3" s="27" t="s">
        <v>5</v>
      </c>
      <c r="J3" s="28" t="s">
        <v>6</v>
      </c>
      <c r="K3" s="28" t="s">
        <v>7</v>
      </c>
      <c r="L3" s="29" t="s">
        <v>8</v>
      </c>
    </row>
    <row r="4" spans="1:12" x14ac:dyDescent="0.35">
      <c r="A4" s="3">
        <v>42005</v>
      </c>
      <c r="B4" s="4">
        <v>3204637</v>
      </c>
      <c r="C4" s="2"/>
      <c r="D4" s="2"/>
      <c r="E4" s="11">
        <f>AVERAGE(E9:E56)</f>
        <v>411613.6458333332</v>
      </c>
      <c r="F4" s="12">
        <f>AVERAGE(F9:F56)</f>
        <v>241244015765.55087</v>
      </c>
      <c r="G4" s="13">
        <f>AVERAGE(G9:G56)</f>
        <v>0.12718193810825765</v>
      </c>
      <c r="H4" s="14">
        <f>SQRT(F4)</f>
        <v>491165.97578166064</v>
      </c>
      <c r="I4" s="11">
        <f>AVERAGE(I14:I56)</f>
        <v>367262.66744186042</v>
      </c>
      <c r="J4" s="12">
        <f>AVERAGE(J14:J56)</f>
        <v>242875210768.15692</v>
      </c>
      <c r="K4" s="13">
        <f>AVERAGE(K14:K56)</f>
        <v>0.1183631237073469</v>
      </c>
      <c r="L4" s="14">
        <f>SQRT(J4)</f>
        <v>492823.7116537281</v>
      </c>
    </row>
    <row r="5" spans="1:12" x14ac:dyDescent="0.35">
      <c r="A5" s="3">
        <v>42036</v>
      </c>
      <c r="B5" s="4">
        <v>2966477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3">
        <v>42064</v>
      </c>
      <c r="B6" s="4">
        <v>3593364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3">
        <v>42095</v>
      </c>
      <c r="B7" s="4">
        <v>3604104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3">
        <v>42125</v>
      </c>
      <c r="B8" s="4">
        <v>3933016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3">
        <v>42156</v>
      </c>
      <c r="B9" s="4">
        <v>4146797</v>
      </c>
      <c r="C9" s="4">
        <f>AVERAGE(B4:B8)</f>
        <v>3460319.6</v>
      </c>
      <c r="D9" s="2"/>
      <c r="E9" s="2">
        <f>ABS(B9-C9)</f>
        <v>686477.39999999991</v>
      </c>
      <c r="F9" s="2">
        <f>E9^2</f>
        <v>471251220710.75989</v>
      </c>
      <c r="G9" s="15">
        <f>E9/B9</f>
        <v>0.16554400902672592</v>
      </c>
      <c r="H9" s="2"/>
      <c r="I9" s="2"/>
      <c r="J9" s="2"/>
      <c r="K9" s="15"/>
      <c r="L9" s="2"/>
    </row>
    <row r="10" spans="1:12" x14ac:dyDescent="0.35">
      <c r="A10" s="3">
        <v>42186</v>
      </c>
      <c r="B10" s="4">
        <v>4176486</v>
      </c>
      <c r="C10" s="4">
        <f t="shared" ref="C10:C57" si="0">AVERAGE(B5:B9)</f>
        <v>3648751.6</v>
      </c>
      <c r="D10" s="2"/>
      <c r="E10" s="2">
        <f t="shared" ref="E10:E56" si="1">ABS(B10-C10)</f>
        <v>527734.39999999991</v>
      </c>
      <c r="F10" s="2">
        <f t="shared" ref="F10:F56" si="2">E10^2</f>
        <v>278503596943.35992</v>
      </c>
      <c r="G10" s="15">
        <f t="shared" ref="G10:G56" si="3">E10/B10</f>
        <v>0.12635847456450228</v>
      </c>
      <c r="H10" s="2"/>
      <c r="I10" s="2"/>
      <c r="J10" s="2"/>
      <c r="K10" s="15"/>
      <c r="L10" s="2"/>
    </row>
    <row r="11" spans="1:12" x14ac:dyDescent="0.35">
      <c r="A11" s="3">
        <v>42217</v>
      </c>
      <c r="B11" s="4">
        <v>4347059</v>
      </c>
      <c r="C11" s="4">
        <f t="shared" si="0"/>
        <v>3890753.4</v>
      </c>
      <c r="D11" s="2"/>
      <c r="E11" s="2">
        <f t="shared" si="1"/>
        <v>456305.60000000009</v>
      </c>
      <c r="F11" s="2">
        <f t="shared" si="2"/>
        <v>208214800591.36008</v>
      </c>
      <c r="G11" s="15">
        <f t="shared" si="3"/>
        <v>0.10496880764673314</v>
      </c>
      <c r="H11" s="2"/>
      <c r="I11" s="2"/>
      <c r="J11" s="2"/>
      <c r="K11" s="15"/>
      <c r="L11" s="2"/>
    </row>
    <row r="12" spans="1:12" x14ac:dyDescent="0.35">
      <c r="A12" s="3">
        <v>42248</v>
      </c>
      <c r="B12" s="4">
        <v>3781168</v>
      </c>
      <c r="C12" s="4">
        <f t="shared" si="0"/>
        <v>4041492.4</v>
      </c>
      <c r="D12" s="2"/>
      <c r="E12" s="2">
        <f t="shared" si="1"/>
        <v>260324.39999999991</v>
      </c>
      <c r="F12" s="2">
        <f t="shared" si="2"/>
        <v>67768793235.359955</v>
      </c>
      <c r="G12" s="15">
        <f t="shared" si="3"/>
        <v>6.88476153400219E-2</v>
      </c>
      <c r="H12" s="2"/>
      <c r="I12" s="2"/>
      <c r="J12" s="2"/>
      <c r="K12" s="15"/>
      <c r="L12" s="2"/>
    </row>
    <row r="13" spans="1:12" x14ac:dyDescent="0.35">
      <c r="A13" s="3">
        <v>42278</v>
      </c>
      <c r="B13" s="4">
        <v>3872278</v>
      </c>
      <c r="C13" s="4">
        <f t="shared" si="0"/>
        <v>4076905.2</v>
      </c>
      <c r="D13" s="2"/>
      <c r="E13" s="2">
        <f t="shared" si="1"/>
        <v>204627.20000000019</v>
      </c>
      <c r="F13" s="2">
        <f t="shared" si="2"/>
        <v>41872290979.840073</v>
      </c>
      <c r="G13" s="15">
        <f t="shared" si="3"/>
        <v>5.2844139806078022E-2</v>
      </c>
      <c r="H13" s="2"/>
      <c r="I13" s="2"/>
      <c r="J13" s="2"/>
      <c r="K13" s="15"/>
      <c r="L13" s="2"/>
    </row>
    <row r="14" spans="1:12" x14ac:dyDescent="0.35">
      <c r="A14" s="3">
        <v>42309</v>
      </c>
      <c r="B14" s="4">
        <v>3902278</v>
      </c>
      <c r="C14" s="4">
        <f t="shared" si="0"/>
        <v>4064757.6</v>
      </c>
      <c r="D14" s="4">
        <f>AVERAGE(B4:B13)</f>
        <v>3762538.6</v>
      </c>
      <c r="E14" s="2">
        <f t="shared" si="1"/>
        <v>162479.60000000009</v>
      </c>
      <c r="F14" s="2">
        <f t="shared" si="2"/>
        <v>26399620416.16003</v>
      </c>
      <c r="G14" s="15">
        <f t="shared" si="3"/>
        <v>4.1637115551480468E-2</v>
      </c>
      <c r="H14" s="2"/>
      <c r="I14" s="2">
        <f>ABS(B14-D14)</f>
        <v>139739.39999999991</v>
      </c>
      <c r="J14" s="2">
        <f>I14^2</f>
        <v>19527099912.359974</v>
      </c>
      <c r="K14" s="15">
        <f>I14/B14</f>
        <v>3.5809698847698676E-2</v>
      </c>
      <c r="L14" s="2"/>
    </row>
    <row r="15" spans="1:12" x14ac:dyDescent="0.35">
      <c r="A15" s="3">
        <v>42339</v>
      </c>
      <c r="B15" s="4">
        <v>4302278</v>
      </c>
      <c r="C15" s="4">
        <f t="shared" si="0"/>
        <v>4015853.8</v>
      </c>
      <c r="D15" s="4">
        <f t="shared" ref="D15:D57" si="4">AVERAGE(B5:B14)</f>
        <v>3832302.7</v>
      </c>
      <c r="E15" s="2">
        <f t="shared" si="1"/>
        <v>286424.20000000019</v>
      </c>
      <c r="F15" s="2">
        <f t="shared" si="2"/>
        <v>82038822345.640106</v>
      </c>
      <c r="G15" s="15">
        <f t="shared" si="3"/>
        <v>6.6575009797135418E-2</v>
      </c>
      <c r="H15" s="2"/>
      <c r="I15" s="2">
        <f t="shared" ref="I15:I56" si="5">ABS(B15-D15)</f>
        <v>469975.29999999981</v>
      </c>
      <c r="J15" s="2">
        <f t="shared" ref="J10:J56" si="6">I15^2</f>
        <v>220876782610.08981</v>
      </c>
      <c r="K15" s="15">
        <f t="shared" ref="K15:K56" si="7">I15/B15</f>
        <v>0.1092387102832499</v>
      </c>
      <c r="L15" s="2"/>
    </row>
    <row r="16" spans="1:12" x14ac:dyDescent="0.35">
      <c r="A16" s="3">
        <v>42370</v>
      </c>
      <c r="B16" s="4">
        <v>2644539</v>
      </c>
      <c r="C16" s="4">
        <f t="shared" si="0"/>
        <v>4041012.2</v>
      </c>
      <c r="D16" s="4">
        <f t="shared" si="4"/>
        <v>3965882.8</v>
      </c>
      <c r="E16" s="2">
        <f t="shared" si="1"/>
        <v>1396473.2000000002</v>
      </c>
      <c r="F16" s="2">
        <f t="shared" si="2"/>
        <v>1950137398318.2405</v>
      </c>
      <c r="G16" s="15">
        <f t="shared" si="3"/>
        <v>0.52805921939513856</v>
      </c>
      <c r="H16" s="2"/>
      <c r="I16" s="2">
        <f t="shared" si="5"/>
        <v>1321343.7999999998</v>
      </c>
      <c r="J16" s="2">
        <f t="shared" si="6"/>
        <v>1745949437798.4395</v>
      </c>
      <c r="K16" s="15">
        <f t="shared" si="7"/>
        <v>0.49964995789436262</v>
      </c>
      <c r="L16" s="2"/>
    </row>
    <row r="17" spans="1:18" x14ac:dyDescent="0.35">
      <c r="A17" s="3">
        <v>42401</v>
      </c>
      <c r="B17" s="4">
        <v>2359800</v>
      </c>
      <c r="C17" s="4">
        <f t="shared" si="0"/>
        <v>3700508.2</v>
      </c>
      <c r="D17" s="4">
        <f t="shared" si="4"/>
        <v>3871000.3</v>
      </c>
      <c r="E17" s="2">
        <f t="shared" si="1"/>
        <v>1340708.2000000002</v>
      </c>
      <c r="F17" s="2">
        <f t="shared" si="2"/>
        <v>1797498477547.2405</v>
      </c>
      <c r="G17" s="15">
        <f t="shared" si="3"/>
        <v>0.56814484278328681</v>
      </c>
      <c r="H17" s="2"/>
      <c r="I17" s="2">
        <f t="shared" si="5"/>
        <v>1511200.2999999998</v>
      </c>
      <c r="J17" s="2">
        <f t="shared" si="6"/>
        <v>2283726346720.0894</v>
      </c>
      <c r="K17" s="15">
        <f t="shared" si="7"/>
        <v>0.64039338079498254</v>
      </c>
      <c r="L17" s="2"/>
    </row>
    <row r="18" spans="1:18" x14ac:dyDescent="0.35">
      <c r="A18" s="3">
        <v>42430</v>
      </c>
      <c r="B18" s="4">
        <v>2925918</v>
      </c>
      <c r="C18" s="4">
        <f t="shared" si="0"/>
        <v>3416234.6</v>
      </c>
      <c r="D18" s="4">
        <f t="shared" si="4"/>
        <v>3746569.9</v>
      </c>
      <c r="E18" s="2">
        <f t="shared" si="1"/>
        <v>490316.60000000009</v>
      </c>
      <c r="F18" s="2">
        <f t="shared" si="2"/>
        <v>240410368235.56009</v>
      </c>
      <c r="G18" s="15">
        <f t="shared" si="3"/>
        <v>0.1675770134364668</v>
      </c>
      <c r="H18" s="2"/>
      <c r="I18" s="2">
        <f t="shared" si="5"/>
        <v>820651.89999999991</v>
      </c>
      <c r="J18" s="2">
        <f t="shared" si="6"/>
        <v>673469540973.60986</v>
      </c>
      <c r="K18" s="15">
        <f t="shared" si="7"/>
        <v>0.28047672559518072</v>
      </c>
      <c r="L18" s="2"/>
    </row>
    <row r="19" spans="1:18" x14ac:dyDescent="0.35">
      <c r="A19" s="3">
        <v>42461</v>
      </c>
      <c r="B19" s="4">
        <v>3024973</v>
      </c>
      <c r="C19" s="4">
        <f t="shared" si="0"/>
        <v>3226962.6</v>
      </c>
      <c r="D19" s="4">
        <f t="shared" si="4"/>
        <v>3645860.1</v>
      </c>
      <c r="E19" s="2">
        <f t="shared" si="1"/>
        <v>201989.60000000009</v>
      </c>
      <c r="F19" s="2">
        <f t="shared" si="2"/>
        <v>40799798508.160034</v>
      </c>
      <c r="G19" s="15">
        <f t="shared" si="3"/>
        <v>6.6774017487098269E-2</v>
      </c>
      <c r="H19" s="2"/>
      <c r="I19" s="2">
        <f t="shared" si="5"/>
        <v>620887.10000000009</v>
      </c>
      <c r="J19" s="2">
        <f t="shared" si="6"/>
        <v>385500790946.4101</v>
      </c>
      <c r="K19" s="15">
        <f t="shared" si="7"/>
        <v>0.20525376590138164</v>
      </c>
      <c r="L19" s="2"/>
    </row>
    <row r="20" spans="1:18" x14ac:dyDescent="0.35">
      <c r="A20" s="3">
        <v>42491</v>
      </c>
      <c r="B20" s="4">
        <v>3177100</v>
      </c>
      <c r="C20" s="4">
        <f t="shared" si="0"/>
        <v>3051501.6</v>
      </c>
      <c r="D20" s="4">
        <f t="shared" si="4"/>
        <v>3533677.7</v>
      </c>
      <c r="E20" s="2">
        <f t="shared" si="1"/>
        <v>125598.39999999991</v>
      </c>
      <c r="F20" s="2">
        <f t="shared" si="2"/>
        <v>15774958082.559977</v>
      </c>
      <c r="G20" s="15">
        <f t="shared" si="3"/>
        <v>3.9532403764439242E-2</v>
      </c>
      <c r="H20" s="2"/>
      <c r="I20" s="2">
        <f t="shared" si="5"/>
        <v>356577.70000000019</v>
      </c>
      <c r="J20" s="2">
        <f t="shared" si="6"/>
        <v>127147656137.29013</v>
      </c>
      <c r="K20" s="15">
        <f t="shared" si="7"/>
        <v>0.11223370369204626</v>
      </c>
      <c r="L20" s="2"/>
    </row>
    <row r="21" spans="1:18" x14ac:dyDescent="0.35">
      <c r="A21" s="3">
        <v>42522</v>
      </c>
      <c r="B21" s="4">
        <v>3419595</v>
      </c>
      <c r="C21" s="4">
        <f t="shared" si="0"/>
        <v>2826466</v>
      </c>
      <c r="D21" s="4">
        <f t="shared" si="4"/>
        <v>3433739.1</v>
      </c>
      <c r="E21" s="2">
        <f t="shared" si="1"/>
        <v>593129</v>
      </c>
      <c r="F21" s="2">
        <f t="shared" si="2"/>
        <v>351802010641</v>
      </c>
      <c r="G21" s="15">
        <f t="shared" si="3"/>
        <v>0.17345007230388393</v>
      </c>
      <c r="H21" s="2"/>
      <c r="I21" s="2">
        <f t="shared" si="5"/>
        <v>14144.100000000093</v>
      </c>
      <c r="J21" s="2">
        <f t="shared" si="6"/>
        <v>200055564.81000262</v>
      </c>
      <c r="K21" s="15">
        <f t="shared" si="7"/>
        <v>4.1361915665451884E-3</v>
      </c>
      <c r="L21" s="2"/>
      <c r="N21" s="18" t="s">
        <v>16</v>
      </c>
      <c r="O21" s="19"/>
      <c r="P21" s="19"/>
      <c r="Q21" s="19"/>
      <c r="R21" s="20"/>
    </row>
    <row r="22" spans="1:18" x14ac:dyDescent="0.35">
      <c r="A22" s="3">
        <v>42552</v>
      </c>
      <c r="B22" s="4">
        <v>3649702</v>
      </c>
      <c r="C22" s="4">
        <f t="shared" si="0"/>
        <v>2981477.2</v>
      </c>
      <c r="D22" s="4">
        <f t="shared" si="4"/>
        <v>3340992.7</v>
      </c>
      <c r="E22" s="2">
        <f t="shared" si="1"/>
        <v>668224.79999999981</v>
      </c>
      <c r="F22" s="2">
        <f t="shared" si="2"/>
        <v>446524383335.03973</v>
      </c>
      <c r="G22" s="15">
        <f t="shared" si="3"/>
        <v>0.18309023586035239</v>
      </c>
      <c r="H22" s="2"/>
      <c r="I22" s="2">
        <f t="shared" si="5"/>
        <v>308709.29999999981</v>
      </c>
      <c r="J22" s="2">
        <f t="shared" si="6"/>
        <v>95301431906.489883</v>
      </c>
      <c r="K22" s="15">
        <f t="shared" si="7"/>
        <v>8.4584796238158566E-2</v>
      </c>
      <c r="L22" s="2"/>
      <c r="N22" s="9" t="s">
        <v>17</v>
      </c>
      <c r="O22" s="6"/>
      <c r="P22" s="6"/>
      <c r="Q22" s="6"/>
      <c r="R22" s="7"/>
    </row>
    <row r="23" spans="1:18" x14ac:dyDescent="0.35">
      <c r="A23" s="3">
        <v>42583</v>
      </c>
      <c r="B23" s="4">
        <v>3650668</v>
      </c>
      <c r="C23" s="4">
        <f t="shared" si="0"/>
        <v>3239457.6</v>
      </c>
      <c r="D23" s="4">
        <f t="shared" si="4"/>
        <v>3327846.1</v>
      </c>
      <c r="E23" s="2">
        <f t="shared" si="1"/>
        <v>411210.39999999991</v>
      </c>
      <c r="F23" s="2">
        <f t="shared" si="2"/>
        <v>169093993068.15991</v>
      </c>
      <c r="G23" s="15">
        <f t="shared" si="3"/>
        <v>0.1126397689409171</v>
      </c>
      <c r="H23" s="2"/>
      <c r="I23" s="2">
        <f t="shared" si="5"/>
        <v>322821.89999999991</v>
      </c>
      <c r="J23" s="2">
        <f t="shared" si="6"/>
        <v>104213979119.60994</v>
      </c>
      <c r="K23" s="15">
        <f t="shared" si="7"/>
        <v>8.8428172597453378E-2</v>
      </c>
      <c r="L23" s="2"/>
      <c r="N23" s="9" t="s">
        <v>20</v>
      </c>
      <c r="O23" s="6"/>
      <c r="P23" s="6"/>
      <c r="Q23" s="6"/>
      <c r="R23" s="7"/>
    </row>
    <row r="24" spans="1:18" x14ac:dyDescent="0.35">
      <c r="A24" s="3">
        <v>42614</v>
      </c>
      <c r="B24" s="4">
        <v>3191526</v>
      </c>
      <c r="C24" s="4">
        <f t="shared" si="0"/>
        <v>3384407.6</v>
      </c>
      <c r="D24" s="4">
        <f t="shared" si="4"/>
        <v>3305685.1</v>
      </c>
      <c r="E24" s="2">
        <f t="shared" si="1"/>
        <v>192881.60000000009</v>
      </c>
      <c r="F24" s="2">
        <f t="shared" si="2"/>
        <v>37203311618.560036</v>
      </c>
      <c r="G24" s="15">
        <f t="shared" si="3"/>
        <v>6.0435540866657547E-2</v>
      </c>
      <c r="H24" s="2"/>
      <c r="I24" s="2">
        <f t="shared" si="5"/>
        <v>114159.10000000009</v>
      </c>
      <c r="J24" s="2">
        <f t="shared" si="6"/>
        <v>13032300112.81002</v>
      </c>
      <c r="K24" s="15">
        <f t="shared" si="7"/>
        <v>3.5769440700154122E-2</v>
      </c>
      <c r="L24" s="2"/>
      <c r="N24" s="9" t="s">
        <v>19</v>
      </c>
      <c r="O24" s="6"/>
      <c r="P24" s="6"/>
      <c r="Q24" s="6"/>
      <c r="R24" s="7"/>
    </row>
    <row r="25" spans="1:18" x14ac:dyDescent="0.35">
      <c r="A25" s="3">
        <v>42644</v>
      </c>
      <c r="B25" s="4">
        <v>3249428</v>
      </c>
      <c r="C25" s="4">
        <f t="shared" si="0"/>
        <v>3417718.2</v>
      </c>
      <c r="D25" s="4">
        <f t="shared" si="4"/>
        <v>3234609.9</v>
      </c>
      <c r="E25" s="2">
        <f t="shared" si="1"/>
        <v>168290.20000000019</v>
      </c>
      <c r="F25" s="2">
        <f t="shared" si="2"/>
        <v>28321591416.040062</v>
      </c>
      <c r="G25" s="15">
        <f t="shared" si="3"/>
        <v>5.179071516586925E-2</v>
      </c>
      <c r="H25" s="2"/>
      <c r="I25" s="2">
        <f t="shared" si="5"/>
        <v>14818.100000000093</v>
      </c>
      <c r="J25" s="2">
        <f t="shared" si="6"/>
        <v>219576087.61000276</v>
      </c>
      <c r="K25" s="15">
        <f t="shared" si="7"/>
        <v>4.5602179829804176E-3</v>
      </c>
      <c r="L25" s="2"/>
      <c r="N25" s="9" t="s">
        <v>21</v>
      </c>
      <c r="O25" s="6"/>
      <c r="P25" s="6"/>
      <c r="Q25" s="6"/>
      <c r="R25" s="7"/>
    </row>
    <row r="26" spans="1:18" x14ac:dyDescent="0.35">
      <c r="A26" s="3">
        <v>42675</v>
      </c>
      <c r="B26" s="4">
        <v>2971484</v>
      </c>
      <c r="C26" s="4">
        <f t="shared" si="0"/>
        <v>3432183.8</v>
      </c>
      <c r="D26" s="4">
        <f t="shared" si="4"/>
        <v>3129324.9</v>
      </c>
      <c r="E26" s="2">
        <f t="shared" si="1"/>
        <v>460699.79999999981</v>
      </c>
      <c r="F26" s="2">
        <f t="shared" si="2"/>
        <v>212244305720.03983</v>
      </c>
      <c r="G26" s="15">
        <f t="shared" si="3"/>
        <v>0.15504030982498973</v>
      </c>
      <c r="H26" s="2"/>
      <c r="I26" s="2">
        <f t="shared" si="5"/>
        <v>157840.89999999991</v>
      </c>
      <c r="J26" s="2">
        <f t="shared" si="6"/>
        <v>24913749712.809971</v>
      </c>
      <c r="K26" s="15">
        <f t="shared" si="7"/>
        <v>5.3118542788721024E-2</v>
      </c>
      <c r="L26" s="2"/>
      <c r="N26" s="10" t="s">
        <v>22</v>
      </c>
      <c r="O26" s="5"/>
      <c r="P26" s="5"/>
      <c r="Q26" s="5"/>
      <c r="R26" s="8"/>
    </row>
    <row r="27" spans="1:18" x14ac:dyDescent="0.35">
      <c r="A27" s="3">
        <v>42705</v>
      </c>
      <c r="B27" s="4">
        <v>3074209</v>
      </c>
      <c r="C27" s="4">
        <f t="shared" si="0"/>
        <v>3342561.6</v>
      </c>
      <c r="D27" s="4">
        <f t="shared" si="4"/>
        <v>3162019.4</v>
      </c>
      <c r="E27" s="2">
        <f t="shared" si="1"/>
        <v>268352.60000000009</v>
      </c>
      <c r="F27" s="2">
        <f t="shared" si="2"/>
        <v>72013117926.760056</v>
      </c>
      <c r="G27" s="15">
        <f t="shared" si="3"/>
        <v>8.7291592731658804E-2</v>
      </c>
      <c r="H27" s="2"/>
      <c r="I27" s="2">
        <f t="shared" si="5"/>
        <v>87810.399999999907</v>
      </c>
      <c r="J27" s="2">
        <f t="shared" si="6"/>
        <v>7710666348.1599836</v>
      </c>
      <c r="K27" s="15">
        <f t="shared" si="7"/>
        <v>2.8563575215608279E-2</v>
      </c>
      <c r="L27" s="2"/>
    </row>
    <row r="28" spans="1:18" x14ac:dyDescent="0.35">
      <c r="A28" s="3">
        <v>42736</v>
      </c>
      <c r="B28" s="4">
        <v>2785466</v>
      </c>
      <c r="C28" s="4">
        <f t="shared" si="0"/>
        <v>3227463</v>
      </c>
      <c r="D28" s="4">
        <f t="shared" si="4"/>
        <v>3233460.3</v>
      </c>
      <c r="E28" s="2">
        <f t="shared" si="1"/>
        <v>441997</v>
      </c>
      <c r="F28" s="2">
        <f t="shared" si="2"/>
        <v>195361348009</v>
      </c>
      <c r="G28" s="15">
        <f t="shared" si="3"/>
        <v>0.15867973258334511</v>
      </c>
      <c r="H28" s="2"/>
      <c r="I28" s="2">
        <f t="shared" si="5"/>
        <v>447994.29999999981</v>
      </c>
      <c r="J28" s="2">
        <f t="shared" si="6"/>
        <v>200698892832.48984</v>
      </c>
      <c r="K28" s="15">
        <f t="shared" si="7"/>
        <v>0.16083280140558162</v>
      </c>
      <c r="L28" s="2"/>
    </row>
    <row r="29" spans="1:18" x14ac:dyDescent="0.35">
      <c r="A29" s="3">
        <v>42767</v>
      </c>
      <c r="B29" s="4">
        <v>2515361</v>
      </c>
      <c r="C29" s="4">
        <f t="shared" si="0"/>
        <v>3054422.6</v>
      </c>
      <c r="D29" s="4">
        <f t="shared" si="4"/>
        <v>3219415.1</v>
      </c>
      <c r="E29" s="2">
        <f t="shared" si="1"/>
        <v>539061.60000000009</v>
      </c>
      <c r="F29" s="2">
        <f t="shared" si="2"/>
        <v>290587408594.56012</v>
      </c>
      <c r="G29" s="15">
        <f t="shared" si="3"/>
        <v>0.21430784686571833</v>
      </c>
      <c r="H29" s="2"/>
      <c r="I29" s="2">
        <f t="shared" si="5"/>
        <v>704054.10000000009</v>
      </c>
      <c r="J29" s="2">
        <f t="shared" si="6"/>
        <v>495692175726.81012</v>
      </c>
      <c r="K29" s="15">
        <f t="shared" si="7"/>
        <v>0.27990181131058328</v>
      </c>
      <c r="L29" s="2"/>
    </row>
    <row r="30" spans="1:18" x14ac:dyDescent="0.35">
      <c r="A30" s="3">
        <v>42795</v>
      </c>
      <c r="B30" s="4">
        <v>3105958</v>
      </c>
      <c r="C30" s="4">
        <f t="shared" si="0"/>
        <v>2919189.6</v>
      </c>
      <c r="D30" s="4">
        <f t="shared" si="4"/>
        <v>3168453.9</v>
      </c>
      <c r="E30" s="2">
        <f t="shared" si="1"/>
        <v>186768.39999999991</v>
      </c>
      <c r="F30" s="2">
        <f t="shared" si="2"/>
        <v>34882435238.559967</v>
      </c>
      <c r="G30" s="15">
        <f t="shared" si="3"/>
        <v>6.0132300565558162E-2</v>
      </c>
      <c r="H30" s="2"/>
      <c r="I30" s="2">
        <f t="shared" si="5"/>
        <v>62495.899999999907</v>
      </c>
      <c r="J30" s="2">
        <f t="shared" si="6"/>
        <v>3905737516.8099885</v>
      </c>
      <c r="K30" s="15">
        <f t="shared" si="7"/>
        <v>2.0121295909345815E-2</v>
      </c>
      <c r="L30" s="2"/>
    </row>
    <row r="31" spans="1:18" x14ac:dyDescent="0.35">
      <c r="A31" s="3">
        <v>42826</v>
      </c>
      <c r="B31" s="4">
        <v>3139059</v>
      </c>
      <c r="C31" s="4">
        <f t="shared" si="0"/>
        <v>2890495.6</v>
      </c>
      <c r="D31" s="4">
        <f t="shared" si="4"/>
        <v>3161339.7</v>
      </c>
      <c r="E31" s="2">
        <f t="shared" si="1"/>
        <v>248563.39999999991</v>
      </c>
      <c r="F31" s="2">
        <f t="shared" si="2"/>
        <v>61783763819.559952</v>
      </c>
      <c r="G31" s="15">
        <f t="shared" si="3"/>
        <v>7.9184048468028123E-2</v>
      </c>
      <c r="H31" s="2"/>
      <c r="I31" s="2">
        <f t="shared" si="5"/>
        <v>22280.700000000186</v>
      </c>
      <c r="J31" s="2">
        <f t="shared" si="6"/>
        <v>496429592.49000829</v>
      </c>
      <c r="K31" s="15">
        <f t="shared" si="7"/>
        <v>7.0978914381667202E-3</v>
      </c>
      <c r="L31" s="2"/>
    </row>
    <row r="32" spans="1:18" x14ac:dyDescent="0.35">
      <c r="A32" s="3">
        <v>42856</v>
      </c>
      <c r="B32" s="4">
        <v>3380355</v>
      </c>
      <c r="C32" s="4">
        <f t="shared" si="0"/>
        <v>2924010.6</v>
      </c>
      <c r="D32" s="4">
        <f t="shared" si="4"/>
        <v>3133286.1</v>
      </c>
      <c r="E32" s="2">
        <f t="shared" si="1"/>
        <v>456344.39999999991</v>
      </c>
      <c r="F32" s="2">
        <f t="shared" si="2"/>
        <v>208250211411.35992</v>
      </c>
      <c r="G32" s="15">
        <f t="shared" si="3"/>
        <v>0.13499895721011548</v>
      </c>
      <c r="H32" s="2"/>
      <c r="I32" s="2">
        <f t="shared" si="5"/>
        <v>247068.89999999991</v>
      </c>
      <c r="J32" s="2">
        <f t="shared" si="6"/>
        <v>61043041347.209953</v>
      </c>
      <c r="K32" s="15">
        <f t="shared" si="7"/>
        <v>7.3089631118625084E-2</v>
      </c>
      <c r="L32" s="2"/>
    </row>
    <row r="33" spans="1:12" x14ac:dyDescent="0.35">
      <c r="A33" s="3">
        <v>42887</v>
      </c>
      <c r="B33" s="4">
        <v>3612886</v>
      </c>
      <c r="C33" s="4">
        <f t="shared" si="0"/>
        <v>2985239.8</v>
      </c>
      <c r="D33" s="4">
        <f t="shared" si="4"/>
        <v>3106351.4</v>
      </c>
      <c r="E33" s="2">
        <f t="shared" si="1"/>
        <v>627646.20000000019</v>
      </c>
      <c r="F33" s="2">
        <f t="shared" si="2"/>
        <v>393939752374.44025</v>
      </c>
      <c r="G33" s="15">
        <f t="shared" si="3"/>
        <v>0.17372433007850238</v>
      </c>
      <c r="H33" s="2"/>
      <c r="I33" s="2">
        <f t="shared" si="5"/>
        <v>506534.60000000009</v>
      </c>
      <c r="J33" s="2">
        <f t="shared" si="6"/>
        <v>256577300997.1601</v>
      </c>
      <c r="K33" s="15">
        <f t="shared" si="7"/>
        <v>0.14020220953553478</v>
      </c>
      <c r="L33" s="2"/>
    </row>
    <row r="34" spans="1:12" x14ac:dyDescent="0.35">
      <c r="A34" s="3">
        <v>42917</v>
      </c>
      <c r="B34" s="4">
        <v>3765824</v>
      </c>
      <c r="C34" s="4">
        <f t="shared" si="0"/>
        <v>3150723.8</v>
      </c>
      <c r="D34" s="4">
        <f t="shared" si="4"/>
        <v>3102573.2</v>
      </c>
      <c r="E34" s="2">
        <f t="shared" si="1"/>
        <v>615100.20000000019</v>
      </c>
      <c r="F34" s="2">
        <f t="shared" si="2"/>
        <v>378348256040.04022</v>
      </c>
      <c r="G34" s="15">
        <f t="shared" si="3"/>
        <v>0.16333747939362014</v>
      </c>
      <c r="H34" s="2"/>
      <c r="I34" s="2">
        <f t="shared" si="5"/>
        <v>663250.79999999981</v>
      </c>
      <c r="J34" s="2">
        <f t="shared" si="6"/>
        <v>439901623700.63977</v>
      </c>
      <c r="K34" s="15">
        <f t="shared" si="7"/>
        <v>0.17612368501555034</v>
      </c>
      <c r="L34" s="2"/>
    </row>
    <row r="35" spans="1:12" x14ac:dyDescent="0.35">
      <c r="A35" s="3">
        <v>42948</v>
      </c>
      <c r="B35" s="4">
        <v>3771842</v>
      </c>
      <c r="C35" s="4">
        <f t="shared" si="0"/>
        <v>3400816.4</v>
      </c>
      <c r="D35" s="4">
        <f t="shared" si="4"/>
        <v>3160003</v>
      </c>
      <c r="E35" s="2">
        <f t="shared" si="1"/>
        <v>371025.60000000009</v>
      </c>
      <c r="F35" s="2">
        <f t="shared" si="2"/>
        <v>137659995855.36008</v>
      </c>
      <c r="G35" s="15">
        <f t="shared" si="3"/>
        <v>9.8367216866454138E-2</v>
      </c>
      <c r="H35" s="2"/>
      <c r="I35" s="2">
        <f t="shared" si="5"/>
        <v>611839</v>
      </c>
      <c r="J35" s="2">
        <f t="shared" si="6"/>
        <v>374346961921</v>
      </c>
      <c r="K35" s="15">
        <f t="shared" si="7"/>
        <v>0.16221225597466701</v>
      </c>
      <c r="L35" s="2"/>
    </row>
    <row r="36" spans="1:12" x14ac:dyDescent="0.35">
      <c r="A36" s="3">
        <v>42979</v>
      </c>
      <c r="B36" s="4">
        <v>3356365</v>
      </c>
      <c r="C36" s="4">
        <f t="shared" si="0"/>
        <v>3533993.2</v>
      </c>
      <c r="D36" s="4">
        <f t="shared" si="4"/>
        <v>3212244.4</v>
      </c>
      <c r="E36" s="2">
        <f t="shared" si="1"/>
        <v>177628.20000000019</v>
      </c>
      <c r="F36" s="2">
        <f t="shared" si="2"/>
        <v>31551777435.240067</v>
      </c>
      <c r="G36" s="15">
        <f t="shared" si="3"/>
        <v>5.2922789982615175E-2</v>
      </c>
      <c r="H36" s="2"/>
      <c r="I36" s="2">
        <f t="shared" si="5"/>
        <v>144120.60000000009</v>
      </c>
      <c r="J36" s="2">
        <f t="shared" si="6"/>
        <v>20770747344.360027</v>
      </c>
      <c r="K36" s="15">
        <f t="shared" si="7"/>
        <v>4.2939489596632095E-2</v>
      </c>
      <c r="L36" s="2"/>
    </row>
    <row r="37" spans="1:12" x14ac:dyDescent="0.35">
      <c r="A37" s="3">
        <v>43009</v>
      </c>
      <c r="B37" s="4">
        <v>3490100</v>
      </c>
      <c r="C37" s="4">
        <f t="shared" si="0"/>
        <v>3577454.4</v>
      </c>
      <c r="D37" s="4">
        <f t="shared" si="4"/>
        <v>3250732.5</v>
      </c>
      <c r="E37" s="2">
        <f t="shared" si="1"/>
        <v>87354.399999999907</v>
      </c>
      <c r="F37" s="2">
        <f t="shared" si="2"/>
        <v>7630791199.3599834</v>
      </c>
      <c r="G37" s="15">
        <f t="shared" si="3"/>
        <v>2.5029196871149798E-2</v>
      </c>
      <c r="H37" s="2"/>
      <c r="I37" s="2">
        <f t="shared" si="5"/>
        <v>239367.5</v>
      </c>
      <c r="J37" s="2">
        <f t="shared" si="6"/>
        <v>57296800056.25</v>
      </c>
      <c r="K37" s="15">
        <f t="shared" si="7"/>
        <v>6.8584711039798282E-2</v>
      </c>
      <c r="L37" s="2"/>
    </row>
    <row r="38" spans="1:12" x14ac:dyDescent="0.35">
      <c r="A38" s="3">
        <v>43040</v>
      </c>
      <c r="B38" s="4">
        <v>3163659</v>
      </c>
      <c r="C38" s="4">
        <f t="shared" si="0"/>
        <v>3599403.4</v>
      </c>
      <c r="D38" s="4">
        <f t="shared" si="4"/>
        <v>3292321.6</v>
      </c>
      <c r="E38" s="2">
        <f t="shared" si="1"/>
        <v>435744.39999999991</v>
      </c>
      <c r="F38" s="2">
        <f t="shared" si="2"/>
        <v>189873182131.35992</v>
      </c>
      <c r="G38" s="15">
        <f t="shared" si="3"/>
        <v>0.13773431333781547</v>
      </c>
      <c r="H38" s="2"/>
      <c r="I38" s="2">
        <f t="shared" si="5"/>
        <v>128662.60000000009</v>
      </c>
      <c r="J38" s="2">
        <f t="shared" si="6"/>
        <v>16554064638.760023</v>
      </c>
      <c r="K38" s="15">
        <f t="shared" si="7"/>
        <v>4.0668921650531896E-2</v>
      </c>
      <c r="L38" s="2"/>
    </row>
    <row r="39" spans="1:12" x14ac:dyDescent="0.35">
      <c r="A39" s="3">
        <v>43070</v>
      </c>
      <c r="B39" s="4">
        <v>3167124</v>
      </c>
      <c r="C39" s="4">
        <f t="shared" si="0"/>
        <v>3509558</v>
      </c>
      <c r="D39" s="4">
        <f t="shared" si="4"/>
        <v>3330140.9</v>
      </c>
      <c r="E39" s="2">
        <f t="shared" si="1"/>
        <v>342434</v>
      </c>
      <c r="F39" s="2">
        <f t="shared" si="2"/>
        <v>117261044356</v>
      </c>
      <c r="G39" s="15">
        <f t="shared" si="3"/>
        <v>0.10812143761974587</v>
      </c>
      <c r="H39" s="2"/>
      <c r="I39" s="2">
        <f t="shared" si="5"/>
        <v>163016.89999999991</v>
      </c>
      <c r="J39" s="2">
        <f t="shared" si="6"/>
        <v>26574509685.60997</v>
      </c>
      <c r="K39" s="15">
        <f t="shared" si="7"/>
        <v>5.1471587471788253E-2</v>
      </c>
      <c r="L39" s="2"/>
    </row>
    <row r="40" spans="1:12" x14ac:dyDescent="0.35">
      <c r="A40" s="3">
        <v>43101</v>
      </c>
      <c r="B40" s="4">
        <v>2883810</v>
      </c>
      <c r="C40" s="4">
        <f t="shared" si="0"/>
        <v>3389818</v>
      </c>
      <c r="D40" s="4">
        <f t="shared" si="4"/>
        <v>3395317.2</v>
      </c>
      <c r="E40" s="2">
        <f t="shared" si="1"/>
        <v>506008</v>
      </c>
      <c r="F40" s="2">
        <f t="shared" si="2"/>
        <v>256044096064</v>
      </c>
      <c r="G40" s="15">
        <f t="shared" si="3"/>
        <v>0.17546509652161549</v>
      </c>
      <c r="H40" s="2"/>
      <c r="I40" s="2">
        <f t="shared" si="5"/>
        <v>511507.20000000019</v>
      </c>
      <c r="J40" s="2">
        <f t="shared" si="6"/>
        <v>261639615651.84018</v>
      </c>
      <c r="K40" s="15">
        <f t="shared" si="7"/>
        <v>0.17737201826750035</v>
      </c>
      <c r="L40" s="2"/>
    </row>
    <row r="41" spans="1:12" x14ac:dyDescent="0.35">
      <c r="A41" s="3">
        <v>43132</v>
      </c>
      <c r="B41" s="4">
        <v>2610667</v>
      </c>
      <c r="C41" s="4">
        <f t="shared" si="0"/>
        <v>3212211.6</v>
      </c>
      <c r="D41" s="4">
        <f t="shared" si="4"/>
        <v>3373102.4</v>
      </c>
      <c r="E41" s="2">
        <f t="shared" si="1"/>
        <v>601544.60000000009</v>
      </c>
      <c r="F41" s="2">
        <f t="shared" si="2"/>
        <v>361855905789.1601</v>
      </c>
      <c r="G41" s="15">
        <f t="shared" si="3"/>
        <v>0.23041797364428329</v>
      </c>
      <c r="H41" s="2"/>
      <c r="I41" s="2">
        <f t="shared" si="5"/>
        <v>762435.39999999991</v>
      </c>
      <c r="J41" s="2">
        <f t="shared" si="6"/>
        <v>581307739173.15991</v>
      </c>
      <c r="K41" s="15">
        <f t="shared" si="7"/>
        <v>0.29204620888071897</v>
      </c>
      <c r="L41" s="2"/>
    </row>
    <row r="42" spans="1:12" x14ac:dyDescent="0.35">
      <c r="A42" s="3">
        <v>43160</v>
      </c>
      <c r="B42" s="4">
        <v>3129205</v>
      </c>
      <c r="C42" s="4">
        <f t="shared" si="0"/>
        <v>3063072</v>
      </c>
      <c r="D42" s="4">
        <f t="shared" si="4"/>
        <v>3320263.2</v>
      </c>
      <c r="E42" s="2">
        <f t="shared" si="1"/>
        <v>66133</v>
      </c>
      <c r="F42" s="2">
        <f t="shared" si="2"/>
        <v>4373573689</v>
      </c>
      <c r="G42" s="15">
        <f t="shared" si="3"/>
        <v>2.1134121925536997E-2</v>
      </c>
      <c r="H42" s="2"/>
      <c r="I42" s="2">
        <f t="shared" si="5"/>
        <v>191058.20000000019</v>
      </c>
      <c r="J42" s="2">
        <f t="shared" si="6"/>
        <v>36503235787.240074</v>
      </c>
      <c r="K42" s="15">
        <f t="shared" si="7"/>
        <v>6.1056466418786939E-2</v>
      </c>
      <c r="L42" s="2"/>
    </row>
    <row r="43" spans="1:12" x14ac:dyDescent="0.35">
      <c r="A43" s="3">
        <v>43191</v>
      </c>
      <c r="B43" s="4">
        <v>3200527</v>
      </c>
      <c r="C43" s="4">
        <f t="shared" si="0"/>
        <v>2990893</v>
      </c>
      <c r="D43" s="4">
        <f t="shared" si="4"/>
        <v>3295148.2</v>
      </c>
      <c r="E43" s="2">
        <f t="shared" si="1"/>
        <v>209634</v>
      </c>
      <c r="F43" s="2">
        <f t="shared" si="2"/>
        <v>43946413956</v>
      </c>
      <c r="G43" s="15">
        <f t="shared" si="3"/>
        <v>6.5499837995430132E-2</v>
      </c>
      <c r="H43" s="2"/>
      <c r="I43" s="2">
        <f t="shared" si="5"/>
        <v>94621.200000000186</v>
      </c>
      <c r="J43" s="2">
        <f t="shared" si="6"/>
        <v>8953171489.4400349</v>
      </c>
      <c r="K43" s="15">
        <f t="shared" si="7"/>
        <v>2.9564256136567567E-2</v>
      </c>
      <c r="L43" s="2"/>
    </row>
    <row r="44" spans="1:12" x14ac:dyDescent="0.35">
      <c r="A44" s="3">
        <v>43221</v>
      </c>
      <c r="B44" s="4">
        <v>3547804</v>
      </c>
      <c r="C44" s="4">
        <f t="shared" si="0"/>
        <v>2998266.6</v>
      </c>
      <c r="D44" s="4">
        <f t="shared" si="4"/>
        <v>3253912.3</v>
      </c>
      <c r="E44" s="2">
        <f t="shared" si="1"/>
        <v>549537.39999999991</v>
      </c>
      <c r="F44" s="2">
        <f t="shared" si="2"/>
        <v>301991353998.75989</v>
      </c>
      <c r="G44" s="15">
        <f t="shared" si="3"/>
        <v>0.15489508439586852</v>
      </c>
      <c r="H44" s="2"/>
      <c r="I44" s="2">
        <f t="shared" si="5"/>
        <v>293891.70000000019</v>
      </c>
      <c r="J44" s="2">
        <f t="shared" si="6"/>
        <v>86372331328.890106</v>
      </c>
      <c r="K44" s="15">
        <f t="shared" si="7"/>
        <v>8.2837637028426656E-2</v>
      </c>
      <c r="L44" s="2"/>
    </row>
    <row r="45" spans="1:12" x14ac:dyDescent="0.35">
      <c r="A45" s="3">
        <v>43252</v>
      </c>
      <c r="B45" s="4">
        <v>3766323</v>
      </c>
      <c r="C45" s="4">
        <f t="shared" si="0"/>
        <v>3074402.6</v>
      </c>
      <c r="D45" s="4">
        <f t="shared" si="4"/>
        <v>3232110.3</v>
      </c>
      <c r="E45" s="2">
        <f t="shared" si="1"/>
        <v>691920.39999999991</v>
      </c>
      <c r="F45" s="2">
        <f t="shared" si="2"/>
        <v>478753839936.15985</v>
      </c>
      <c r="G45" s="15">
        <f t="shared" si="3"/>
        <v>0.18371244314414878</v>
      </c>
      <c r="H45" s="2"/>
      <c r="I45" s="2">
        <f t="shared" si="5"/>
        <v>534212.70000000019</v>
      </c>
      <c r="J45" s="2">
        <f t="shared" si="6"/>
        <v>285383208841.29022</v>
      </c>
      <c r="K45" s="15">
        <f t="shared" si="7"/>
        <v>0.14183932180006872</v>
      </c>
      <c r="L45" s="2"/>
    </row>
    <row r="46" spans="1:12" x14ac:dyDescent="0.35">
      <c r="A46" s="3">
        <v>43282</v>
      </c>
      <c r="B46" s="4">
        <v>3935589</v>
      </c>
      <c r="C46" s="4">
        <f t="shared" si="0"/>
        <v>3250905.2</v>
      </c>
      <c r="D46" s="4">
        <f t="shared" si="4"/>
        <v>3231558.4</v>
      </c>
      <c r="E46" s="2">
        <f t="shared" si="1"/>
        <v>684683.79999999981</v>
      </c>
      <c r="F46" s="2">
        <f t="shared" si="2"/>
        <v>468791905982.43976</v>
      </c>
      <c r="G46" s="15">
        <f t="shared" si="3"/>
        <v>0.17397238380328836</v>
      </c>
      <c r="H46" s="2"/>
      <c r="I46" s="2">
        <f t="shared" si="5"/>
        <v>704030.60000000009</v>
      </c>
      <c r="J46" s="2">
        <f t="shared" si="6"/>
        <v>495659085736.36011</v>
      </c>
      <c r="K46" s="15">
        <f t="shared" si="7"/>
        <v>0.17888824264932138</v>
      </c>
      <c r="L46" s="2"/>
    </row>
    <row r="47" spans="1:12" x14ac:dyDescent="0.35">
      <c r="A47" s="3">
        <v>43313</v>
      </c>
      <c r="B47" s="4">
        <v>3917884</v>
      </c>
      <c r="C47" s="4">
        <f t="shared" si="0"/>
        <v>3515889.6</v>
      </c>
      <c r="D47" s="4">
        <f t="shared" si="4"/>
        <v>3289480.8</v>
      </c>
      <c r="E47" s="2">
        <f t="shared" si="1"/>
        <v>401994.39999999991</v>
      </c>
      <c r="F47" s="2">
        <f t="shared" si="2"/>
        <v>161599497631.35992</v>
      </c>
      <c r="G47" s="15">
        <f t="shared" si="3"/>
        <v>0.10260497758483914</v>
      </c>
      <c r="H47" s="2"/>
      <c r="I47" s="2">
        <f t="shared" si="5"/>
        <v>628403.20000000019</v>
      </c>
      <c r="J47" s="2">
        <f t="shared" si="6"/>
        <v>394890581770.24023</v>
      </c>
      <c r="K47" s="15">
        <f t="shared" si="7"/>
        <v>0.16039351854215189</v>
      </c>
      <c r="L47" s="2"/>
    </row>
    <row r="48" spans="1:12" x14ac:dyDescent="0.35">
      <c r="A48" s="3">
        <v>43344</v>
      </c>
      <c r="B48" s="4">
        <v>3564970</v>
      </c>
      <c r="C48" s="4">
        <f t="shared" si="0"/>
        <v>3673625.4</v>
      </c>
      <c r="D48" s="4">
        <f t="shared" si="4"/>
        <v>3332259.2</v>
      </c>
      <c r="E48" s="2">
        <f t="shared" si="1"/>
        <v>108655.39999999991</v>
      </c>
      <c r="F48" s="2">
        <f t="shared" si="2"/>
        <v>11805995949.159979</v>
      </c>
      <c r="G48" s="15">
        <f t="shared" si="3"/>
        <v>3.0478629553684859E-2</v>
      </c>
      <c r="H48" s="2"/>
      <c r="I48" s="2">
        <f t="shared" si="5"/>
        <v>232710.79999999981</v>
      </c>
      <c r="J48" s="2">
        <f t="shared" si="6"/>
        <v>54154316436.639915</v>
      </c>
      <c r="K48" s="15">
        <f t="shared" si="7"/>
        <v>6.5277071055296343E-2</v>
      </c>
      <c r="L48" s="2"/>
    </row>
    <row r="49" spans="1:12" x14ac:dyDescent="0.35">
      <c r="A49" s="3">
        <v>43374</v>
      </c>
      <c r="B49" s="4">
        <v>3602455</v>
      </c>
      <c r="C49" s="4">
        <f t="shared" si="0"/>
        <v>3746514</v>
      </c>
      <c r="D49" s="4">
        <f t="shared" si="4"/>
        <v>3372390.3</v>
      </c>
      <c r="E49" s="2">
        <f t="shared" si="1"/>
        <v>144059</v>
      </c>
      <c r="F49" s="2">
        <f t="shared" si="2"/>
        <v>20752995481</v>
      </c>
      <c r="G49" s="15">
        <f t="shared" si="3"/>
        <v>3.9989118531667985E-2</v>
      </c>
      <c r="H49" s="2"/>
      <c r="I49" s="2">
        <f t="shared" si="5"/>
        <v>230064.70000000019</v>
      </c>
      <c r="J49" s="2">
        <f t="shared" si="6"/>
        <v>52929766186.090088</v>
      </c>
      <c r="K49" s="15">
        <f t="shared" si="7"/>
        <v>6.3863309881733485E-2</v>
      </c>
      <c r="L49" s="2"/>
    </row>
    <row r="50" spans="1:12" x14ac:dyDescent="0.35">
      <c r="A50" s="3">
        <v>43405</v>
      </c>
      <c r="B50" s="4">
        <v>3326859</v>
      </c>
      <c r="C50" s="4">
        <f t="shared" si="0"/>
        <v>3757444.2</v>
      </c>
      <c r="D50" s="4">
        <f t="shared" si="4"/>
        <v>3415923.4</v>
      </c>
      <c r="E50" s="2">
        <f t="shared" si="1"/>
        <v>430585.20000000019</v>
      </c>
      <c r="F50" s="2">
        <f t="shared" si="2"/>
        <v>185403614459.04016</v>
      </c>
      <c r="G50" s="15">
        <f t="shared" si="3"/>
        <v>0.12942694595713258</v>
      </c>
      <c r="H50" s="2"/>
      <c r="I50" s="2">
        <f t="shared" si="5"/>
        <v>89064.399999999907</v>
      </c>
      <c r="J50" s="2">
        <f t="shared" si="6"/>
        <v>7932467347.3599834</v>
      </c>
      <c r="K50" s="15">
        <f t="shared" si="7"/>
        <v>2.6771317930816999E-2</v>
      </c>
      <c r="L50" s="2"/>
    </row>
    <row r="51" spans="1:12" x14ac:dyDescent="0.35">
      <c r="A51" s="3">
        <v>43435</v>
      </c>
      <c r="B51" s="4">
        <v>3441693</v>
      </c>
      <c r="C51" s="4">
        <f t="shared" si="0"/>
        <v>3669551.4</v>
      </c>
      <c r="D51" s="4">
        <f t="shared" si="4"/>
        <v>3460228.3</v>
      </c>
      <c r="E51" s="2">
        <f t="shared" si="1"/>
        <v>227858.39999999991</v>
      </c>
      <c r="F51" s="2">
        <f t="shared" si="2"/>
        <v>51919450450.559959</v>
      </c>
      <c r="G51" s="15">
        <f t="shared" si="3"/>
        <v>6.6205323949579439E-2</v>
      </c>
      <c r="H51" s="2"/>
      <c r="I51" s="2">
        <f t="shared" si="5"/>
        <v>18535.299999999814</v>
      </c>
      <c r="J51" s="2">
        <f t="shared" si="6"/>
        <v>343557346.08999312</v>
      </c>
      <c r="K51" s="15">
        <f t="shared" si="7"/>
        <v>5.3855181156482624E-3</v>
      </c>
      <c r="L51" s="2"/>
    </row>
    <row r="52" spans="1:12" x14ac:dyDescent="0.35">
      <c r="A52" s="3">
        <v>43466</v>
      </c>
      <c r="B52" s="4">
        <v>3211600</v>
      </c>
      <c r="C52" s="4">
        <f t="shared" si="0"/>
        <v>3570772.2</v>
      </c>
      <c r="D52" s="4">
        <f t="shared" si="4"/>
        <v>3543330.9</v>
      </c>
      <c r="E52" s="2">
        <f t="shared" si="1"/>
        <v>359172.20000000019</v>
      </c>
      <c r="F52" s="2">
        <f t="shared" si="2"/>
        <v>129004669252.84013</v>
      </c>
      <c r="G52" s="15">
        <f t="shared" si="3"/>
        <v>0.1118359073359074</v>
      </c>
      <c r="H52" s="2"/>
      <c r="I52" s="2">
        <f t="shared" si="5"/>
        <v>331730.89999999991</v>
      </c>
      <c r="J52" s="2">
        <f t="shared" si="6"/>
        <v>110045390014.80994</v>
      </c>
      <c r="K52" s="15">
        <f t="shared" si="7"/>
        <v>0.10329147465437785</v>
      </c>
      <c r="L52" s="2"/>
    </row>
    <row r="53" spans="1:12" x14ac:dyDescent="0.35">
      <c r="A53" s="3">
        <v>43497</v>
      </c>
      <c r="B53" s="4">
        <v>2998119</v>
      </c>
      <c r="C53" s="4">
        <f t="shared" si="0"/>
        <v>3429515.4</v>
      </c>
      <c r="D53" s="4">
        <f t="shared" si="4"/>
        <v>3551570.4</v>
      </c>
      <c r="E53" s="2">
        <f t="shared" si="1"/>
        <v>431396.39999999991</v>
      </c>
      <c r="F53" s="2">
        <f t="shared" si="2"/>
        <v>186102853932.95993</v>
      </c>
      <c r="G53" s="15">
        <f t="shared" si="3"/>
        <v>0.14388901841454588</v>
      </c>
      <c r="H53" s="2"/>
      <c r="I53" s="2">
        <f t="shared" si="5"/>
        <v>553451.39999999991</v>
      </c>
      <c r="J53" s="2">
        <f t="shared" si="6"/>
        <v>306308452161.9599</v>
      </c>
      <c r="K53" s="15">
        <f t="shared" si="7"/>
        <v>0.18459954391403408</v>
      </c>
      <c r="L53" s="2"/>
    </row>
    <row r="54" spans="1:12" x14ac:dyDescent="0.35">
      <c r="A54" s="3">
        <v>43525</v>
      </c>
      <c r="B54" s="4">
        <v>3472440</v>
      </c>
      <c r="C54" s="4">
        <f t="shared" si="0"/>
        <v>3316145.2</v>
      </c>
      <c r="D54" s="4">
        <f t="shared" si="4"/>
        <v>3531329.6</v>
      </c>
      <c r="E54" s="2">
        <f t="shared" si="1"/>
        <v>156294.79999999981</v>
      </c>
      <c r="F54" s="2">
        <f t="shared" si="2"/>
        <v>24428064507.03994</v>
      </c>
      <c r="G54" s="15">
        <f t="shared" si="3"/>
        <v>4.5010079367821997E-2</v>
      </c>
      <c r="H54" s="2"/>
      <c r="I54" s="2">
        <f t="shared" si="5"/>
        <v>58889.600000000093</v>
      </c>
      <c r="J54" s="2">
        <f t="shared" si="6"/>
        <v>3467984988.1600108</v>
      </c>
      <c r="K54" s="15">
        <f t="shared" si="7"/>
        <v>1.6959141122668813E-2</v>
      </c>
      <c r="L54" s="2"/>
    </row>
    <row r="55" spans="1:12" x14ac:dyDescent="0.35">
      <c r="A55" s="3">
        <v>43556</v>
      </c>
      <c r="B55" s="4">
        <v>3563007</v>
      </c>
      <c r="C55" s="4">
        <f t="shared" si="0"/>
        <v>3290142.2</v>
      </c>
      <c r="D55" s="4">
        <f t="shared" si="4"/>
        <v>3523793.2</v>
      </c>
      <c r="E55" s="2">
        <f t="shared" si="1"/>
        <v>272864.79999999981</v>
      </c>
      <c r="F55" s="2">
        <f t="shared" si="2"/>
        <v>74455199079.039902</v>
      </c>
      <c r="G55" s="15">
        <f t="shared" si="3"/>
        <v>7.658272913861798E-2</v>
      </c>
      <c r="H55" s="2"/>
      <c r="I55" s="2">
        <f t="shared" si="5"/>
        <v>39213.799999999814</v>
      </c>
      <c r="J55" s="2">
        <f t="shared" si="6"/>
        <v>1537722110.4399853</v>
      </c>
      <c r="K55" s="15">
        <f t="shared" si="7"/>
        <v>1.1005816154725437E-2</v>
      </c>
      <c r="L55" s="2"/>
    </row>
    <row r="56" spans="1:12" x14ac:dyDescent="0.35">
      <c r="A56" s="3">
        <v>43586</v>
      </c>
      <c r="B56" s="4">
        <v>3820570</v>
      </c>
      <c r="C56" s="4">
        <f t="shared" si="0"/>
        <v>3337371.8</v>
      </c>
      <c r="D56" s="4">
        <f t="shared" si="4"/>
        <v>3503461.6</v>
      </c>
      <c r="E56" s="2">
        <f t="shared" si="1"/>
        <v>483198.20000000019</v>
      </c>
      <c r="F56" s="2">
        <f t="shared" si="2"/>
        <v>233480500483.24017</v>
      </c>
      <c r="G56" s="15">
        <f t="shared" si="3"/>
        <v>0.12647280379629222</v>
      </c>
      <c r="H56" s="2"/>
      <c r="I56" s="2">
        <f t="shared" si="5"/>
        <v>317108.39999999991</v>
      </c>
      <c r="J56" s="2">
        <f t="shared" si="6"/>
        <v>100557737350.55994</v>
      </c>
      <c r="K56" s="15">
        <f t="shared" si="7"/>
        <v>8.3000285297743503E-2</v>
      </c>
      <c r="L56" s="2"/>
    </row>
    <row r="57" spans="1:12" x14ac:dyDescent="0.35">
      <c r="A57" s="3">
        <v>43617</v>
      </c>
      <c r="B57" s="4"/>
      <c r="C57" s="16">
        <f>AVERAGE(B52:B56)</f>
        <v>3413147.2</v>
      </c>
      <c r="D57" s="16">
        <f t="shared" si="4"/>
        <v>3491959.7</v>
      </c>
      <c r="E57" s="2"/>
      <c r="F57" s="2"/>
      <c r="G57" s="2"/>
      <c r="H57" s="2"/>
      <c r="I57" s="2"/>
      <c r="J57" s="2"/>
      <c r="K57" s="2"/>
      <c r="L57" s="2"/>
    </row>
    <row r="58" spans="1:12" x14ac:dyDescent="0.35">
      <c r="A58" s="3"/>
      <c r="B58" s="4"/>
    </row>
    <row r="59" spans="1:12" x14ac:dyDescent="0.35">
      <c r="A59" s="3"/>
      <c r="B59" s="4"/>
    </row>
    <row r="60" spans="1:12" x14ac:dyDescent="0.35">
      <c r="A60" s="3"/>
      <c r="B60" s="4"/>
    </row>
    <row r="61" spans="1:12" x14ac:dyDescent="0.35">
      <c r="A61" s="3"/>
      <c r="B61" s="4"/>
    </row>
    <row r="62" spans="1:12" x14ac:dyDescent="0.35">
      <c r="A62" s="3"/>
      <c r="B62" s="4"/>
      <c r="C62" t="s">
        <v>9</v>
      </c>
    </row>
    <row r="63" spans="1:12" x14ac:dyDescent="0.35">
      <c r="A63" s="3"/>
    </row>
    <row r="64" spans="1:12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</sheetData>
  <mergeCells count="3">
    <mergeCell ref="E2:H2"/>
    <mergeCell ref="I2:L2"/>
    <mergeCell ref="N21:R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2798-2CD2-4C28-B8A2-A033C6A1F05B}">
  <dimension ref="A1:W86"/>
  <sheetViews>
    <sheetView workbookViewId="0">
      <selection activeCell="M10" sqref="M10"/>
    </sheetView>
  </sheetViews>
  <sheetFormatPr defaultRowHeight="15.5" x14ac:dyDescent="0.35"/>
  <cols>
    <col min="1" max="1" width="13.1796875" style="2" bestFit="1" customWidth="1"/>
    <col min="2" max="2" width="21.26953125" style="2" bestFit="1" customWidth="1"/>
    <col min="3" max="6" width="14.08984375" bestFit="1" customWidth="1"/>
    <col min="7" max="7" width="14.453125" bestFit="1" customWidth="1"/>
    <col min="8" max="8" width="7" bestFit="1" customWidth="1"/>
    <col min="9" max="10" width="14.08984375" bestFit="1" customWidth="1"/>
    <col min="11" max="11" width="14.453125" bestFit="1" customWidth="1"/>
    <col min="12" max="12" width="7" bestFit="1" customWidth="1"/>
    <col min="13" max="14" width="14.08984375" bestFit="1" customWidth="1"/>
    <col min="15" max="15" width="14.453125" bestFit="1" customWidth="1"/>
    <col min="16" max="16" width="7" bestFit="1" customWidth="1"/>
    <col min="17" max="17" width="14.08984375" bestFit="1" customWidth="1"/>
  </cols>
  <sheetData>
    <row r="1" spans="1:17" x14ac:dyDescent="0.35">
      <c r="A1" s="1" t="s">
        <v>0</v>
      </c>
      <c r="F1" s="21" t="s">
        <v>15</v>
      </c>
      <c r="G1" s="22"/>
      <c r="H1" s="22"/>
      <c r="I1" s="23"/>
      <c r="J1" s="21" t="s">
        <v>14</v>
      </c>
      <c r="K1" s="22"/>
      <c r="L1" s="22"/>
      <c r="M1" s="23"/>
      <c r="N1" s="21" t="s">
        <v>13</v>
      </c>
      <c r="O1" s="22"/>
      <c r="P1" s="22"/>
      <c r="Q1" s="23"/>
    </row>
    <row r="2" spans="1:17" x14ac:dyDescent="0.35">
      <c r="F2" s="24" t="s">
        <v>5</v>
      </c>
      <c r="G2" s="25" t="s">
        <v>6</v>
      </c>
      <c r="H2" s="25" t="s">
        <v>7</v>
      </c>
      <c r="I2" s="26" t="s">
        <v>8</v>
      </c>
      <c r="J2" s="24" t="s">
        <v>5</v>
      </c>
      <c r="K2" s="25" t="s">
        <v>6</v>
      </c>
      <c r="L2" s="25" t="s">
        <v>7</v>
      </c>
      <c r="M2" s="26" t="s">
        <v>8</v>
      </c>
      <c r="N2" s="24" t="s">
        <v>5</v>
      </c>
      <c r="O2" s="25" t="s">
        <v>6</v>
      </c>
      <c r="P2" s="25" t="s">
        <v>7</v>
      </c>
      <c r="Q2" s="26" t="s">
        <v>8</v>
      </c>
    </row>
    <row r="3" spans="1:17" x14ac:dyDescent="0.35">
      <c r="A3" s="1" t="s">
        <v>1</v>
      </c>
      <c r="B3" s="1" t="s">
        <v>2</v>
      </c>
      <c r="C3" s="1" t="s">
        <v>12</v>
      </c>
      <c r="D3" s="1" t="s">
        <v>11</v>
      </c>
      <c r="E3" s="1" t="s">
        <v>10</v>
      </c>
      <c r="F3" s="11">
        <f>AVERAGE(F5:F56)</f>
        <v>372024.3176240024</v>
      </c>
      <c r="G3" s="12">
        <f>AVERAGE(G5:G56)</f>
        <v>213209033700.82324</v>
      </c>
      <c r="H3" s="13">
        <f>AVERAGE(H5:H56)</f>
        <v>0.11295962855843088</v>
      </c>
      <c r="I3" s="14">
        <f>SQRT(G3)</f>
        <v>461745.63744644437</v>
      </c>
      <c r="J3" s="11">
        <f>AVERAGE(J14:J56)</f>
        <v>318560.66570488538</v>
      </c>
      <c r="K3" s="12">
        <f>AVERAGE(K14:K56)</f>
        <v>160284555088.58191</v>
      </c>
      <c r="L3" s="13">
        <f>AVERAGE(L14:L56)</f>
        <v>0.10189971878555402</v>
      </c>
      <c r="M3" s="14">
        <f>SQRT(K3)</f>
        <v>400355.53585354844</v>
      </c>
      <c r="N3" s="11">
        <f>AVERAGE(N14:N56)</f>
        <v>268200.4371002129</v>
      </c>
      <c r="O3" s="12">
        <f>AVERAGE(O14:O56)</f>
        <v>137761033069.13684</v>
      </c>
      <c r="P3" s="13">
        <f>AVERAGE(P14:P56)</f>
        <v>8.625932380301285E-2</v>
      </c>
      <c r="Q3" s="14">
        <f>SQRT(O3)</f>
        <v>371161.73438157234</v>
      </c>
    </row>
    <row r="4" spans="1:17" x14ac:dyDescent="0.35">
      <c r="A4" s="3">
        <v>42005</v>
      </c>
      <c r="B4" s="4">
        <v>3204637</v>
      </c>
      <c r="C4" s="2" t="e">
        <v>#N/A</v>
      </c>
      <c r="D4" s="2" t="e">
        <v>#N/A</v>
      </c>
      <c r="E4" s="2" t="e">
        <v>#N/A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 x14ac:dyDescent="0.35">
      <c r="A5" s="3">
        <v>42036</v>
      </c>
      <c r="B5" s="4">
        <v>2966477</v>
      </c>
      <c r="C5" s="4">
        <f>B4</f>
        <v>3204637</v>
      </c>
      <c r="D5" s="4">
        <f>B4</f>
        <v>3204637</v>
      </c>
      <c r="E5" s="4">
        <f>B4</f>
        <v>3204637</v>
      </c>
      <c r="F5" s="2">
        <f>ABS(B5-C5)</f>
        <v>238160</v>
      </c>
      <c r="G5" s="2">
        <f>F5^2</f>
        <v>56720185600</v>
      </c>
      <c r="H5" s="15">
        <f>F5/B5</f>
        <v>8.0283784435207145E-2</v>
      </c>
      <c r="I5" s="2"/>
      <c r="J5" s="2">
        <f>ABS(B5-D5)</f>
        <v>238160</v>
      </c>
      <c r="K5" s="2">
        <f>J5^2</f>
        <v>56720185600</v>
      </c>
      <c r="L5" s="15">
        <f>J5/B5</f>
        <v>8.0283784435207145E-2</v>
      </c>
      <c r="M5" s="2"/>
      <c r="N5" s="2">
        <f>ABS(B5-E5)</f>
        <v>238160</v>
      </c>
      <c r="O5" s="2">
        <f>N5^2</f>
        <v>56720185600</v>
      </c>
      <c r="P5" s="15">
        <f>N5/B5</f>
        <v>8.0283784435207145E-2</v>
      </c>
    </row>
    <row r="6" spans="1:17" x14ac:dyDescent="0.35">
      <c r="A6" s="3">
        <v>42064</v>
      </c>
      <c r="B6" s="4">
        <v>3593364</v>
      </c>
      <c r="C6" s="2">
        <f t="shared" ref="C6:C37" si="0">0.1*B5+0.9*C5</f>
        <v>3180821.0000000005</v>
      </c>
      <c r="D6" s="2">
        <f t="shared" ref="D6:D37" si="1">0.5*B5+0.5*D5</f>
        <v>3085557</v>
      </c>
      <c r="E6" s="2">
        <f t="shared" ref="E6:E37" si="2">0.9*B5+0.1*E5</f>
        <v>2990293.0000000005</v>
      </c>
      <c r="F6" s="2">
        <f t="shared" ref="F6:F56" si="3">ABS(B6-C6)</f>
        <v>412542.99999999953</v>
      </c>
      <c r="G6" s="2">
        <f t="shared" ref="G6:G56" si="4">F6^2</f>
        <v>170191726848.9996</v>
      </c>
      <c r="H6" s="15">
        <f t="shared" ref="H6:H56" si="5">F6/B6</f>
        <v>0.11480690517297984</v>
      </c>
      <c r="I6" s="2"/>
      <c r="J6" s="2">
        <f t="shared" ref="J6:J56" si="6">ABS(B6-D6)</f>
        <v>507807</v>
      </c>
      <c r="K6" s="2">
        <f t="shared" ref="K6:K56" si="7">J6^2</f>
        <v>257867949249</v>
      </c>
      <c r="L6" s="15">
        <f t="shared" ref="L6:L56" si="8">J6/B6</f>
        <v>0.14131799617294546</v>
      </c>
      <c r="M6" s="2"/>
      <c r="N6" s="2">
        <f t="shared" ref="N6:N56" si="9">ABS(B6-E6)</f>
        <v>603070.99999999953</v>
      </c>
      <c r="O6" s="2">
        <f t="shared" ref="O6:O56" si="10">N6^2</f>
        <v>363694631040.99945</v>
      </c>
      <c r="P6" s="15">
        <f t="shared" ref="P6:P56" si="11">N6/B6</f>
        <v>0.16782908717291081</v>
      </c>
    </row>
    <row r="7" spans="1:17" x14ac:dyDescent="0.35">
      <c r="A7" s="3">
        <v>42095</v>
      </c>
      <c r="B7" s="4">
        <v>3604104</v>
      </c>
      <c r="C7" s="2">
        <f t="shared" si="0"/>
        <v>3222075.3000000003</v>
      </c>
      <c r="D7" s="2">
        <f t="shared" si="1"/>
        <v>3339460.5</v>
      </c>
      <c r="E7" s="2">
        <f t="shared" si="2"/>
        <v>3533056.9000000004</v>
      </c>
      <c r="F7" s="2">
        <f t="shared" si="3"/>
        <v>382028.69999999972</v>
      </c>
      <c r="G7" s="2">
        <f t="shared" si="4"/>
        <v>145945927623.68979</v>
      </c>
      <c r="H7" s="15">
        <f t="shared" si="5"/>
        <v>0.10599824533365289</v>
      </c>
      <c r="I7" s="2"/>
      <c r="J7" s="2">
        <f t="shared" si="6"/>
        <v>264643.5</v>
      </c>
      <c r="K7" s="2">
        <f t="shared" si="7"/>
        <v>70036182092.25</v>
      </c>
      <c r="L7" s="15">
        <f t="shared" si="8"/>
        <v>7.3428374985849462E-2</v>
      </c>
      <c r="M7" s="2"/>
      <c r="N7" s="2">
        <f t="shared" si="9"/>
        <v>71047.099999999627</v>
      </c>
      <c r="O7" s="2">
        <f t="shared" si="10"/>
        <v>5047690418.4099474</v>
      </c>
      <c r="P7" s="15">
        <f t="shared" si="11"/>
        <v>1.9712832926019788E-2</v>
      </c>
    </row>
    <row r="8" spans="1:17" x14ac:dyDescent="0.35">
      <c r="A8" s="3">
        <v>42125</v>
      </c>
      <c r="B8" s="4">
        <v>3933016</v>
      </c>
      <c r="C8" s="2">
        <f t="shared" si="0"/>
        <v>3260278.1700000004</v>
      </c>
      <c r="D8" s="2">
        <f t="shared" si="1"/>
        <v>3471782.25</v>
      </c>
      <c r="E8" s="2">
        <f t="shared" si="2"/>
        <v>3596999.29</v>
      </c>
      <c r="F8" s="2">
        <f t="shared" si="3"/>
        <v>672737.82999999961</v>
      </c>
      <c r="G8" s="2">
        <f t="shared" si="4"/>
        <v>452576187913.1084</v>
      </c>
      <c r="H8" s="15">
        <f t="shared" si="5"/>
        <v>0.17104884139805168</v>
      </c>
      <c r="I8" s="2"/>
      <c r="J8" s="2">
        <f t="shared" si="6"/>
        <v>461233.75</v>
      </c>
      <c r="K8" s="2">
        <f t="shared" si="7"/>
        <v>212736572139.0625</v>
      </c>
      <c r="L8" s="15">
        <f t="shared" si="8"/>
        <v>0.11727227908556691</v>
      </c>
      <c r="M8" s="2"/>
      <c r="N8" s="2">
        <f t="shared" si="9"/>
        <v>336016.70999999996</v>
      </c>
      <c r="O8" s="2">
        <f t="shared" si="10"/>
        <v>112907229399.22408</v>
      </c>
      <c r="P8" s="15">
        <f t="shared" si="11"/>
        <v>8.5434869830176119E-2</v>
      </c>
    </row>
    <row r="9" spans="1:17" x14ac:dyDescent="0.35">
      <c r="A9" s="3">
        <v>42156</v>
      </c>
      <c r="B9" s="4">
        <v>4146797</v>
      </c>
      <c r="C9" s="2">
        <f t="shared" si="0"/>
        <v>3327551.9530000007</v>
      </c>
      <c r="D9" s="2">
        <f t="shared" si="1"/>
        <v>3702399.125</v>
      </c>
      <c r="E9" s="2">
        <f t="shared" si="2"/>
        <v>3899414.3289999999</v>
      </c>
      <c r="F9" s="2">
        <f>ABS(B9-C9)</f>
        <v>819245.04699999932</v>
      </c>
      <c r="G9" s="2">
        <f t="shared" si="4"/>
        <v>671162447034.03113</v>
      </c>
      <c r="H9" s="15">
        <f t="shared" si="5"/>
        <v>0.19756092400954262</v>
      </c>
      <c r="I9" s="2"/>
      <c r="J9" s="2">
        <f t="shared" si="6"/>
        <v>444397.875</v>
      </c>
      <c r="K9" s="2">
        <f t="shared" si="7"/>
        <v>197489471304.51563</v>
      </c>
      <c r="L9" s="15">
        <f t="shared" si="8"/>
        <v>0.10716653720932083</v>
      </c>
      <c r="M9" s="2"/>
      <c r="N9" s="2">
        <f t="shared" si="9"/>
        <v>247382.67100000009</v>
      </c>
      <c r="O9" s="2">
        <f t="shared" si="10"/>
        <v>61198185911.094284</v>
      </c>
      <c r="P9" s="15">
        <f t="shared" si="11"/>
        <v>5.965632535183181E-2</v>
      </c>
    </row>
    <row r="10" spans="1:17" x14ac:dyDescent="0.35">
      <c r="A10" s="3">
        <v>42186</v>
      </c>
      <c r="B10" s="4">
        <v>4176486</v>
      </c>
      <c r="C10" s="2">
        <f t="shared" si="0"/>
        <v>3409476.4577000011</v>
      </c>
      <c r="D10" s="2">
        <f t="shared" si="1"/>
        <v>3924598.0625</v>
      </c>
      <c r="E10" s="2">
        <f t="shared" si="2"/>
        <v>4122058.7329000002</v>
      </c>
      <c r="F10" s="2">
        <f t="shared" si="3"/>
        <v>767009.54229999892</v>
      </c>
      <c r="G10" s="2">
        <f t="shared" si="4"/>
        <v>588303637979.25378</v>
      </c>
      <c r="H10" s="15">
        <f t="shared" si="5"/>
        <v>0.18364949440749925</v>
      </c>
      <c r="I10" s="2"/>
      <c r="J10" s="2">
        <f t="shared" si="6"/>
        <v>251887.9375</v>
      </c>
      <c r="K10" s="2">
        <f t="shared" si="7"/>
        <v>63447533058.003906</v>
      </c>
      <c r="L10" s="15">
        <f t="shared" si="8"/>
        <v>6.0310973746829269E-2</v>
      </c>
      <c r="M10" s="2"/>
      <c r="N10" s="2">
        <f t="shared" si="9"/>
        <v>54427.267099999823</v>
      </c>
      <c r="O10" s="2">
        <f t="shared" si="10"/>
        <v>2962327403.9747233</v>
      </c>
      <c r="P10" s="15">
        <f t="shared" si="11"/>
        <v>1.3031832765631161E-2</v>
      </c>
    </row>
    <row r="11" spans="1:17" x14ac:dyDescent="0.35">
      <c r="A11" s="3">
        <v>42217</v>
      </c>
      <c r="B11" s="4">
        <v>4347059</v>
      </c>
      <c r="C11" s="2">
        <f t="shared" si="0"/>
        <v>3486177.4119300013</v>
      </c>
      <c r="D11" s="2">
        <f t="shared" si="1"/>
        <v>4050542.03125</v>
      </c>
      <c r="E11" s="2">
        <f t="shared" si="2"/>
        <v>4171043.2732899999</v>
      </c>
      <c r="F11" s="2">
        <f t="shared" si="3"/>
        <v>860881.58806999866</v>
      </c>
      <c r="G11" s="2">
        <f t="shared" si="4"/>
        <v>741117108677.92285</v>
      </c>
      <c r="H11" s="15">
        <f t="shared" si="5"/>
        <v>0.19803770504840137</v>
      </c>
      <c r="I11" s="2"/>
      <c r="J11" s="2">
        <f t="shared" si="6"/>
        <v>296516.96875</v>
      </c>
      <c r="K11" s="2">
        <f t="shared" si="7"/>
        <v>87922312756.688477</v>
      </c>
      <c r="L11" s="15">
        <f t="shared" si="8"/>
        <v>6.8210937268162228E-2</v>
      </c>
      <c r="M11" s="2"/>
      <c r="N11" s="2">
        <f t="shared" si="9"/>
        <v>176015.72671000008</v>
      </c>
      <c r="O11" s="2">
        <f t="shared" si="10"/>
        <v>30981536049.249435</v>
      </c>
      <c r="P11" s="15">
        <f t="shared" si="11"/>
        <v>4.0490760928250588E-2</v>
      </c>
    </row>
    <row r="12" spans="1:17" x14ac:dyDescent="0.35">
      <c r="A12" s="3">
        <v>42248</v>
      </c>
      <c r="B12" s="4">
        <v>3781168</v>
      </c>
      <c r="C12" s="2">
        <f t="shared" si="0"/>
        <v>3572265.570737001</v>
      </c>
      <c r="D12" s="2">
        <f t="shared" si="1"/>
        <v>4198800.515625</v>
      </c>
      <c r="E12" s="2">
        <f t="shared" si="2"/>
        <v>4329457.4273290001</v>
      </c>
      <c r="F12" s="2">
        <f t="shared" si="3"/>
        <v>208902.42926299898</v>
      </c>
      <c r="G12" s="2">
        <f t="shared" si="4"/>
        <v>43640224951.982292</v>
      </c>
      <c r="H12" s="15">
        <f t="shared" si="5"/>
        <v>5.524812154947862E-2</v>
      </c>
      <c r="I12" s="2"/>
      <c r="J12" s="2">
        <f t="shared" si="6"/>
        <v>417632.515625</v>
      </c>
      <c r="K12" s="2">
        <f t="shared" si="7"/>
        <v>174416918107.26587</v>
      </c>
      <c r="L12" s="15">
        <f t="shared" si="8"/>
        <v>0.11045066382266008</v>
      </c>
      <c r="M12" s="2"/>
      <c r="N12" s="2">
        <f t="shared" si="9"/>
        <v>548289.42732900009</v>
      </c>
      <c r="O12" s="2">
        <f t="shared" si="10"/>
        <v>300621296120.76288</v>
      </c>
      <c r="P12" s="15">
        <f t="shared" si="11"/>
        <v>0.14500530717730609</v>
      </c>
    </row>
    <row r="13" spans="1:17" x14ac:dyDescent="0.35">
      <c r="A13" s="3">
        <v>42278</v>
      </c>
      <c r="B13" s="4">
        <v>3872278</v>
      </c>
      <c r="C13" s="2">
        <f t="shared" si="0"/>
        <v>3593155.8136633011</v>
      </c>
      <c r="D13" s="2">
        <f t="shared" si="1"/>
        <v>3989984.2578125</v>
      </c>
      <c r="E13" s="2">
        <f t="shared" si="2"/>
        <v>3835996.9427329004</v>
      </c>
      <c r="F13" s="2">
        <f t="shared" si="3"/>
        <v>279122.18633669894</v>
      </c>
      <c r="G13" s="2">
        <f t="shared" si="4"/>
        <v>77909194905.378891</v>
      </c>
      <c r="H13" s="15">
        <f t="shared" si="5"/>
        <v>7.2082166191760749E-2</v>
      </c>
      <c r="I13" s="2"/>
      <c r="J13" s="2">
        <f t="shared" si="6"/>
        <v>117706.2578125</v>
      </c>
      <c r="K13" s="2">
        <f t="shared" si="7"/>
        <v>13854763128.222717</v>
      </c>
      <c r="L13" s="15">
        <f t="shared" si="8"/>
        <v>3.039716100251583E-2</v>
      </c>
      <c r="M13" s="2"/>
      <c r="N13" s="2">
        <f t="shared" si="9"/>
        <v>36281.057267099619</v>
      </c>
      <c r="O13" s="2">
        <f t="shared" si="10"/>
        <v>1316315116.4185622</v>
      </c>
      <c r="P13" s="15">
        <f t="shared" si="11"/>
        <v>9.3694350630558077E-3</v>
      </c>
    </row>
    <row r="14" spans="1:17" x14ac:dyDescent="0.35">
      <c r="A14" s="3">
        <v>42309</v>
      </c>
      <c r="B14" s="4">
        <v>3902278</v>
      </c>
      <c r="C14" s="2">
        <f t="shared" si="0"/>
        <v>3621068.0322969714</v>
      </c>
      <c r="D14" s="2">
        <f t="shared" si="1"/>
        <v>3931131.12890625</v>
      </c>
      <c r="E14" s="2">
        <f t="shared" si="2"/>
        <v>3868649.8942732904</v>
      </c>
      <c r="F14" s="2">
        <f t="shared" si="3"/>
        <v>281209.96770302858</v>
      </c>
      <c r="G14" s="2">
        <f t="shared" si="4"/>
        <v>79079045935.538376</v>
      </c>
      <c r="H14" s="15">
        <f t="shared" si="5"/>
        <v>7.2063027724582562E-2</v>
      </c>
      <c r="I14" s="2"/>
      <c r="J14" s="2">
        <f t="shared" si="6"/>
        <v>28853.12890625</v>
      </c>
      <c r="K14" s="2">
        <f t="shared" si="7"/>
        <v>832503047.68067932</v>
      </c>
      <c r="L14" s="15">
        <f t="shared" si="8"/>
        <v>7.3939193738247252E-3</v>
      </c>
      <c r="M14" s="2"/>
      <c r="N14" s="2">
        <f t="shared" si="9"/>
        <v>33628.105726709589</v>
      </c>
      <c r="O14" s="2">
        <f t="shared" si="10"/>
        <v>1130849494.7667582</v>
      </c>
      <c r="P14" s="15">
        <f t="shared" si="11"/>
        <v>8.6175576744428745E-3</v>
      </c>
    </row>
    <row r="15" spans="1:17" x14ac:dyDescent="0.35">
      <c r="A15" s="3">
        <v>42339</v>
      </c>
      <c r="B15" s="4">
        <v>4302278</v>
      </c>
      <c r="C15" s="2">
        <f t="shared" si="0"/>
        <v>3649189.0290672742</v>
      </c>
      <c r="D15" s="2">
        <f t="shared" si="1"/>
        <v>3916704.564453125</v>
      </c>
      <c r="E15" s="2">
        <f t="shared" si="2"/>
        <v>3898915.1894273292</v>
      </c>
      <c r="F15" s="2">
        <f t="shared" si="3"/>
        <v>653088.97093272582</v>
      </c>
      <c r="G15" s="2">
        <f t="shared" si="4"/>
        <v>426525203953.9668</v>
      </c>
      <c r="H15" s="15">
        <f t="shared" si="5"/>
        <v>0.15180073694278376</v>
      </c>
      <c r="I15" s="2"/>
      <c r="J15" s="2">
        <f t="shared" si="6"/>
        <v>385573.435546875</v>
      </c>
      <c r="K15" s="2">
        <f t="shared" si="7"/>
        <v>148666874199.42017</v>
      </c>
      <c r="L15" s="15">
        <f t="shared" si="8"/>
        <v>8.9620762662681264E-2</v>
      </c>
      <c r="M15" s="2"/>
      <c r="N15" s="2">
        <f t="shared" si="9"/>
        <v>403362.81057267077</v>
      </c>
      <c r="O15" s="2">
        <f t="shared" si="10"/>
        <v>162701556953.08429</v>
      </c>
      <c r="P15" s="15">
        <f t="shared" si="11"/>
        <v>9.3755636100844891E-2</v>
      </c>
    </row>
    <row r="16" spans="1:17" x14ac:dyDescent="0.35">
      <c r="A16" s="3">
        <v>42370</v>
      </c>
      <c r="B16" s="4">
        <v>2644539</v>
      </c>
      <c r="C16" s="2">
        <f t="shared" si="0"/>
        <v>3714497.926160547</v>
      </c>
      <c r="D16" s="2">
        <f t="shared" si="1"/>
        <v>4109491.2822265625</v>
      </c>
      <c r="E16" s="2">
        <f t="shared" si="2"/>
        <v>4261941.7189427335</v>
      </c>
      <c r="F16" s="2">
        <f t="shared" si="3"/>
        <v>1069958.926160547</v>
      </c>
      <c r="G16" s="2">
        <f t="shared" si="4"/>
        <v>1144812103670.6309</v>
      </c>
      <c r="H16" s="15">
        <f t="shared" si="5"/>
        <v>0.40459184990675007</v>
      </c>
      <c r="I16" s="2"/>
      <c r="J16" s="2">
        <f t="shared" si="6"/>
        <v>1464952.2822265625</v>
      </c>
      <c r="K16" s="2">
        <f t="shared" si="7"/>
        <v>2146085189200.814</v>
      </c>
      <c r="L16" s="15">
        <f t="shared" si="8"/>
        <v>0.55395374476480119</v>
      </c>
      <c r="M16" s="2"/>
      <c r="N16" s="2">
        <f t="shared" si="9"/>
        <v>1617402.7189427335</v>
      </c>
      <c r="O16" s="2">
        <f t="shared" si="10"/>
        <v>2615991555243.3467</v>
      </c>
      <c r="P16" s="15">
        <f t="shared" si="11"/>
        <v>0.61160100832044206</v>
      </c>
    </row>
    <row r="17" spans="1:23" x14ac:dyDescent="0.35">
      <c r="A17" s="3">
        <v>42401</v>
      </c>
      <c r="B17" s="4">
        <v>2359800</v>
      </c>
      <c r="C17" s="2">
        <f t="shared" si="0"/>
        <v>3607502.0335444924</v>
      </c>
      <c r="D17" s="2">
        <f t="shared" si="1"/>
        <v>3377015.1411132813</v>
      </c>
      <c r="E17" s="2">
        <f t="shared" si="2"/>
        <v>2806279.2718942733</v>
      </c>
      <c r="F17" s="2">
        <f t="shared" si="3"/>
        <v>1247702.0335444924</v>
      </c>
      <c r="G17" s="2">
        <f t="shared" si="4"/>
        <v>1556760364511.0618</v>
      </c>
      <c r="H17" s="15">
        <f t="shared" si="5"/>
        <v>0.52873211015530652</v>
      </c>
      <c r="I17" s="2"/>
      <c r="J17" s="2">
        <f t="shared" si="6"/>
        <v>1017215.1411132813</v>
      </c>
      <c r="K17" s="2">
        <f t="shared" si="7"/>
        <v>1034726643310.1127</v>
      </c>
      <c r="L17" s="15">
        <f t="shared" si="8"/>
        <v>0.43105989537811734</v>
      </c>
      <c r="M17" s="2"/>
      <c r="N17" s="2">
        <f t="shared" si="9"/>
        <v>446479.27189427335</v>
      </c>
      <c r="O17" s="2">
        <f t="shared" si="10"/>
        <v>199343740231.24048</v>
      </c>
      <c r="P17" s="15">
        <f t="shared" si="11"/>
        <v>0.1892021662404752</v>
      </c>
    </row>
    <row r="18" spans="1:23" x14ac:dyDescent="0.35">
      <c r="A18" s="3">
        <v>42430</v>
      </c>
      <c r="B18" s="4">
        <v>2925918</v>
      </c>
      <c r="C18" s="2">
        <f t="shared" si="0"/>
        <v>3482731.8301900434</v>
      </c>
      <c r="D18" s="2">
        <f t="shared" si="1"/>
        <v>2868407.5705566406</v>
      </c>
      <c r="E18" s="2">
        <f t="shared" si="2"/>
        <v>2404447.9271894274</v>
      </c>
      <c r="F18" s="2">
        <f t="shared" si="3"/>
        <v>556813.83019004343</v>
      </c>
      <c r="G18" s="2">
        <f t="shared" si="4"/>
        <v>310041641490.90649</v>
      </c>
      <c r="H18" s="15">
        <f t="shared" si="5"/>
        <v>0.19030397645800171</v>
      </c>
      <c r="I18" s="2"/>
      <c r="J18" s="2">
        <f t="shared" si="6"/>
        <v>57510.429443359375</v>
      </c>
      <c r="K18" s="2">
        <f t="shared" si="7"/>
        <v>3307449494.7596169</v>
      </c>
      <c r="L18" s="15">
        <f t="shared" si="8"/>
        <v>1.9655516471534532E-2</v>
      </c>
      <c r="M18" s="2"/>
      <c r="N18" s="2">
        <f t="shared" si="9"/>
        <v>521470.07281057257</v>
      </c>
      <c r="O18" s="2">
        <f t="shared" si="10"/>
        <v>271931036837.06387</v>
      </c>
      <c r="P18" s="15">
        <f t="shared" si="11"/>
        <v>0.17822443172042846</v>
      </c>
    </row>
    <row r="19" spans="1:23" x14ac:dyDescent="0.35">
      <c r="A19" s="3">
        <v>42461</v>
      </c>
      <c r="B19" s="4">
        <v>3024973</v>
      </c>
      <c r="C19" s="2">
        <f t="shared" si="0"/>
        <v>3427050.4471710389</v>
      </c>
      <c r="D19" s="2">
        <f t="shared" si="1"/>
        <v>2897162.7852783203</v>
      </c>
      <c r="E19" s="2">
        <f t="shared" si="2"/>
        <v>2873770.9927189429</v>
      </c>
      <c r="F19" s="2">
        <f t="shared" si="3"/>
        <v>402077.44717103895</v>
      </c>
      <c r="G19" s="2">
        <f t="shared" si="4"/>
        <v>161666273523.57962</v>
      </c>
      <c r="H19" s="15">
        <f t="shared" si="5"/>
        <v>0.13291935074165587</v>
      </c>
      <c r="I19" s="2"/>
      <c r="J19" s="2">
        <f t="shared" si="6"/>
        <v>127810.21472167969</v>
      </c>
      <c r="K19" s="2">
        <f t="shared" si="7"/>
        <v>16335450987.201868</v>
      </c>
      <c r="L19" s="15">
        <f t="shared" si="8"/>
        <v>4.2251687774297386E-2</v>
      </c>
      <c r="M19" s="2"/>
      <c r="N19" s="2">
        <f t="shared" si="9"/>
        <v>151202.00728105707</v>
      </c>
      <c r="O19" s="2">
        <f t="shared" si="10"/>
        <v>22862047005.820835</v>
      </c>
      <c r="P19" s="15">
        <f t="shared" si="11"/>
        <v>4.9984580781731631E-2</v>
      </c>
    </row>
    <row r="20" spans="1:23" x14ac:dyDescent="0.35">
      <c r="A20" s="3">
        <v>42491</v>
      </c>
      <c r="B20" s="4">
        <v>3177100</v>
      </c>
      <c r="C20" s="2">
        <f t="shared" si="0"/>
        <v>3386842.7024539351</v>
      </c>
      <c r="D20" s="2">
        <f t="shared" si="1"/>
        <v>2961067.8926391602</v>
      </c>
      <c r="E20" s="2">
        <f t="shared" si="2"/>
        <v>3009852.7992718946</v>
      </c>
      <c r="F20" s="2">
        <f t="shared" si="3"/>
        <v>209742.70245393505</v>
      </c>
      <c r="G20" s="2">
        <f t="shared" si="4"/>
        <v>43992001232.679932</v>
      </c>
      <c r="H20" s="15">
        <f t="shared" si="5"/>
        <v>6.6017028879775605E-2</v>
      </c>
      <c r="I20" s="2"/>
      <c r="J20" s="2">
        <f t="shared" si="6"/>
        <v>216032.10736083984</v>
      </c>
      <c r="K20" s="2">
        <f t="shared" si="7"/>
        <v>46669871410.765434</v>
      </c>
      <c r="L20" s="15">
        <f t="shared" si="8"/>
        <v>6.7996634465657305E-2</v>
      </c>
      <c r="M20" s="2"/>
      <c r="N20" s="2">
        <f t="shared" si="9"/>
        <v>167247.20072810538</v>
      </c>
      <c r="O20" s="2">
        <f t="shared" si="10"/>
        <v>27971626151.387173</v>
      </c>
      <c r="P20" s="15">
        <f t="shared" si="11"/>
        <v>5.2641465716567117E-2</v>
      </c>
    </row>
    <row r="21" spans="1:23" x14ac:dyDescent="0.35">
      <c r="A21" s="3">
        <v>42522</v>
      </c>
      <c r="B21" s="4">
        <v>3419595</v>
      </c>
      <c r="C21" s="2">
        <f t="shared" si="0"/>
        <v>3365868.4322085418</v>
      </c>
      <c r="D21" s="2">
        <f t="shared" si="1"/>
        <v>3069083.9463195801</v>
      </c>
      <c r="E21" s="2">
        <f t="shared" si="2"/>
        <v>3160375.2799271895</v>
      </c>
      <c r="F21" s="2">
        <f t="shared" si="3"/>
        <v>53726.567791458219</v>
      </c>
      <c r="G21" s="2">
        <f t="shared" si="4"/>
        <v>2886544086.6501555</v>
      </c>
      <c r="H21" s="15">
        <f t="shared" si="5"/>
        <v>1.5711383304589644E-2</v>
      </c>
      <c r="I21" s="2"/>
      <c r="J21" s="2">
        <f t="shared" si="6"/>
        <v>350511.05368041992</v>
      </c>
      <c r="K21" s="2">
        <f t="shared" si="7"/>
        <v>122857998752.15822</v>
      </c>
      <c r="L21" s="15">
        <f t="shared" si="8"/>
        <v>0.10250075043401921</v>
      </c>
      <c r="M21" s="2"/>
      <c r="N21" s="2">
        <f t="shared" si="9"/>
        <v>259219.72007281054</v>
      </c>
      <c r="O21" s="2">
        <f t="shared" si="10"/>
        <v>67194863274.626251</v>
      </c>
      <c r="P21" s="15">
        <f t="shared" si="11"/>
        <v>7.5804216602495478E-2</v>
      </c>
    </row>
    <row r="22" spans="1:23" x14ac:dyDescent="0.35">
      <c r="A22" s="3">
        <v>42552</v>
      </c>
      <c r="B22" s="4">
        <v>3649702</v>
      </c>
      <c r="C22" s="2">
        <f t="shared" si="0"/>
        <v>3371241.0889876876</v>
      </c>
      <c r="D22" s="2">
        <f t="shared" si="1"/>
        <v>3244339.47315979</v>
      </c>
      <c r="E22" s="2">
        <f t="shared" si="2"/>
        <v>3393673.0279927189</v>
      </c>
      <c r="F22" s="2">
        <f t="shared" si="3"/>
        <v>278460.9110123124</v>
      </c>
      <c r="G22" s="2">
        <f t="shared" si="4"/>
        <v>77540478961.806961</v>
      </c>
      <c r="H22" s="15">
        <f t="shared" si="5"/>
        <v>7.6296889722040975E-2</v>
      </c>
      <c r="I22" s="2"/>
      <c r="J22" s="2">
        <f t="shared" si="6"/>
        <v>405362.52684020996</v>
      </c>
      <c r="K22" s="2">
        <f t="shared" si="7"/>
        <v>164318778166.27994</v>
      </c>
      <c r="L22" s="15">
        <f t="shared" si="8"/>
        <v>0.1110672944914982</v>
      </c>
      <c r="M22" s="2"/>
      <c r="N22" s="2">
        <f t="shared" si="9"/>
        <v>256028.97200728115</v>
      </c>
      <c r="O22" s="2">
        <f t="shared" si="10"/>
        <v>65550834507.105156</v>
      </c>
      <c r="P22" s="15">
        <f t="shared" si="11"/>
        <v>7.0150651205846709E-2</v>
      </c>
    </row>
    <row r="23" spans="1:23" x14ac:dyDescent="0.35">
      <c r="A23" s="3">
        <v>42583</v>
      </c>
      <c r="B23" s="4">
        <v>3650668</v>
      </c>
      <c r="C23" s="2">
        <f t="shared" si="0"/>
        <v>3399087.1800889191</v>
      </c>
      <c r="D23" s="2">
        <f t="shared" si="1"/>
        <v>3447020.736579895</v>
      </c>
      <c r="E23" s="2">
        <f t="shared" si="2"/>
        <v>3624099.1027992722</v>
      </c>
      <c r="F23" s="2">
        <f t="shared" si="3"/>
        <v>251580.81991108088</v>
      </c>
      <c r="G23" s="2">
        <f t="shared" si="4"/>
        <v>63292908947.131706</v>
      </c>
      <c r="H23" s="15">
        <f t="shared" si="5"/>
        <v>6.8913639890310727E-2</v>
      </c>
      <c r="I23" s="2"/>
      <c r="J23" s="2">
        <f t="shared" si="6"/>
        <v>203647.26342010498</v>
      </c>
      <c r="K23" s="2">
        <f t="shared" si="7"/>
        <v>41472207898.497627</v>
      </c>
      <c r="L23" s="15">
        <f t="shared" si="8"/>
        <v>5.5783561644089513E-2</v>
      </c>
      <c r="M23" s="2"/>
      <c r="N23" s="2">
        <f t="shared" si="9"/>
        <v>26568.897200727835</v>
      </c>
      <c r="O23" s="2">
        <f t="shared" si="10"/>
        <v>705906298.46284342</v>
      </c>
      <c r="P23" s="15">
        <f t="shared" si="11"/>
        <v>7.277817977621585E-3</v>
      </c>
      <c r="R23" s="18" t="s">
        <v>16</v>
      </c>
      <c r="S23" s="19"/>
      <c r="T23" s="19"/>
      <c r="U23" s="19"/>
      <c r="V23" s="19"/>
      <c r="W23" s="20"/>
    </row>
    <row r="24" spans="1:23" x14ac:dyDescent="0.35">
      <c r="A24" s="3">
        <v>42614</v>
      </c>
      <c r="B24" s="4">
        <v>3191526</v>
      </c>
      <c r="C24" s="2">
        <f t="shared" si="0"/>
        <v>3424245.2620800277</v>
      </c>
      <c r="D24" s="2">
        <f t="shared" si="1"/>
        <v>3548844.3682899475</v>
      </c>
      <c r="E24" s="2">
        <f t="shared" si="2"/>
        <v>3648011.1102799275</v>
      </c>
      <c r="F24" s="2">
        <f t="shared" si="3"/>
        <v>232719.26208002772</v>
      </c>
      <c r="G24" s="2">
        <f t="shared" si="4"/>
        <v>54158254943.072632</v>
      </c>
      <c r="H24" s="15">
        <f t="shared" si="5"/>
        <v>7.2917865021318237E-2</v>
      </c>
      <c r="I24" s="2"/>
      <c r="J24" s="2">
        <f t="shared" si="6"/>
        <v>357318.36828994751</v>
      </c>
      <c r="K24" s="2">
        <f t="shared" si="7"/>
        <v>127676416317.39056</v>
      </c>
      <c r="L24" s="15">
        <f t="shared" si="8"/>
        <v>0.11195847011427998</v>
      </c>
      <c r="M24" s="2"/>
      <c r="N24" s="2">
        <f t="shared" si="9"/>
        <v>456485.1102799275</v>
      </c>
      <c r="O24" s="2">
        <f t="shared" si="10"/>
        <v>208378655907.27756</v>
      </c>
      <c r="P24" s="15">
        <f t="shared" si="11"/>
        <v>0.14303035923251997</v>
      </c>
      <c r="R24" s="9" t="s">
        <v>17</v>
      </c>
      <c r="S24" s="6"/>
      <c r="T24" s="6"/>
      <c r="U24" s="6"/>
      <c r="V24" s="6"/>
      <c r="W24" s="7"/>
    </row>
    <row r="25" spans="1:23" x14ac:dyDescent="0.35">
      <c r="A25" s="3">
        <v>42644</v>
      </c>
      <c r="B25" s="4">
        <v>3249428</v>
      </c>
      <c r="C25" s="2">
        <f t="shared" si="0"/>
        <v>3400973.3358720252</v>
      </c>
      <c r="D25" s="2">
        <f t="shared" si="1"/>
        <v>3370185.1841449738</v>
      </c>
      <c r="E25" s="2">
        <f t="shared" si="2"/>
        <v>3237174.5110279927</v>
      </c>
      <c r="F25" s="2">
        <f t="shared" si="3"/>
        <v>151545.33587202523</v>
      </c>
      <c r="G25" s="2">
        <f t="shared" si="4"/>
        <v>22965988824.564938</v>
      </c>
      <c r="H25" s="15">
        <f t="shared" si="5"/>
        <v>4.6637542321917962E-2</v>
      </c>
      <c r="I25" s="2"/>
      <c r="J25" s="2">
        <f t="shared" si="6"/>
        <v>120757.18414497375</v>
      </c>
      <c r="K25" s="2">
        <f t="shared" si="7"/>
        <v>14582297522.6231</v>
      </c>
      <c r="L25" s="15">
        <f t="shared" si="8"/>
        <v>3.7162597277112699E-2</v>
      </c>
      <c r="M25" s="2"/>
      <c r="N25" s="2">
        <f t="shared" si="9"/>
        <v>12253.488972007297</v>
      </c>
      <c r="O25" s="2">
        <f t="shared" si="10"/>
        <v>150147991.98710445</v>
      </c>
      <c r="P25" s="15">
        <f t="shared" si="11"/>
        <v>3.7709679894453105E-3</v>
      </c>
      <c r="R25" s="9" t="s">
        <v>18</v>
      </c>
      <c r="S25" s="6"/>
      <c r="T25" s="6"/>
      <c r="U25" s="6"/>
      <c r="V25" s="6"/>
      <c r="W25" s="7"/>
    </row>
    <row r="26" spans="1:23" x14ac:dyDescent="0.35">
      <c r="A26" s="3">
        <v>42675</v>
      </c>
      <c r="B26" s="4">
        <v>2971484</v>
      </c>
      <c r="C26" s="2">
        <f t="shared" si="0"/>
        <v>3385818.8022848228</v>
      </c>
      <c r="D26" s="2">
        <f t="shared" si="1"/>
        <v>3309806.5920724869</v>
      </c>
      <c r="E26" s="2">
        <f t="shared" si="2"/>
        <v>3248202.6511027995</v>
      </c>
      <c r="F26" s="2">
        <f t="shared" si="3"/>
        <v>414334.8022848228</v>
      </c>
      <c r="G26" s="2">
        <f t="shared" si="4"/>
        <v>171673328384.4032</v>
      </c>
      <c r="H26" s="15">
        <f t="shared" si="5"/>
        <v>0.13943699588650749</v>
      </c>
      <c r="I26" s="2"/>
      <c r="J26" s="2">
        <f t="shared" si="6"/>
        <v>338322.59207248688</v>
      </c>
      <c r="K26" s="2">
        <f t="shared" si="7"/>
        <v>114462176306.64636</v>
      </c>
      <c r="L26" s="15">
        <f t="shared" si="8"/>
        <v>0.11385644077924932</v>
      </c>
      <c r="M26" s="2"/>
      <c r="N26" s="2">
        <f t="shared" si="9"/>
        <v>276718.65110279946</v>
      </c>
      <c r="O26" s="2">
        <f t="shared" si="10"/>
        <v>76573211868.152847</v>
      </c>
      <c r="P26" s="15">
        <f t="shared" si="11"/>
        <v>9.312473198671084E-2</v>
      </c>
      <c r="R26" s="10" t="s">
        <v>23</v>
      </c>
      <c r="S26" s="5"/>
      <c r="T26" s="5"/>
      <c r="U26" s="5"/>
      <c r="V26" s="5"/>
      <c r="W26" s="8"/>
    </row>
    <row r="27" spans="1:23" x14ac:dyDescent="0.35">
      <c r="A27" s="3">
        <v>42705</v>
      </c>
      <c r="B27" s="4">
        <v>3074209</v>
      </c>
      <c r="C27" s="2">
        <f t="shared" si="0"/>
        <v>3344385.3220563405</v>
      </c>
      <c r="D27" s="2">
        <f t="shared" si="1"/>
        <v>3140645.2960362434</v>
      </c>
      <c r="E27" s="2">
        <f t="shared" si="2"/>
        <v>2999155.86511028</v>
      </c>
      <c r="F27" s="2">
        <f t="shared" si="3"/>
        <v>270176.32205634052</v>
      </c>
      <c r="G27" s="2">
        <f t="shared" si="4"/>
        <v>72995244999.891434</v>
      </c>
      <c r="H27" s="15">
        <f t="shared" si="5"/>
        <v>8.7884825675918751E-2</v>
      </c>
      <c r="I27" s="2"/>
      <c r="J27" s="2">
        <f t="shared" si="6"/>
        <v>66436.296036243439</v>
      </c>
      <c r="K27" s="2">
        <f t="shared" si="7"/>
        <v>4413781431.0153761</v>
      </c>
      <c r="L27" s="15">
        <f t="shared" si="8"/>
        <v>2.1610858609887432E-2</v>
      </c>
      <c r="M27" s="2"/>
      <c r="N27" s="2">
        <f t="shared" si="9"/>
        <v>75053.134889720008</v>
      </c>
      <c r="O27" s="2">
        <f t="shared" si="10"/>
        <v>5632973056.7745066</v>
      </c>
      <c r="P27" s="15">
        <f t="shared" si="11"/>
        <v>2.4413803645009172E-2</v>
      </c>
    </row>
    <row r="28" spans="1:23" x14ac:dyDescent="0.35">
      <c r="A28" s="3">
        <v>42736</v>
      </c>
      <c r="B28" s="4">
        <v>2785466</v>
      </c>
      <c r="C28" s="2">
        <f t="shared" si="0"/>
        <v>3317367.6898507066</v>
      </c>
      <c r="D28" s="2">
        <f t="shared" si="1"/>
        <v>3107427.1480181217</v>
      </c>
      <c r="E28" s="2">
        <f t="shared" si="2"/>
        <v>3066703.6865110281</v>
      </c>
      <c r="F28" s="2">
        <f t="shared" si="3"/>
        <v>531901.68985070661</v>
      </c>
      <c r="G28" s="2">
        <f t="shared" si="4"/>
        <v>282919407666.03729</v>
      </c>
      <c r="H28" s="15">
        <f t="shared" si="5"/>
        <v>0.19095608772489292</v>
      </c>
      <c r="I28" s="2"/>
      <c r="J28" s="2">
        <f t="shared" si="6"/>
        <v>321961.14801812172</v>
      </c>
      <c r="K28" s="2">
        <f t="shared" si="7"/>
        <v>103658980833.14688</v>
      </c>
      <c r="L28" s="15">
        <f t="shared" si="8"/>
        <v>0.11558609870596938</v>
      </c>
      <c r="M28" s="2"/>
      <c r="N28" s="2">
        <f t="shared" si="9"/>
        <v>281237.68651102809</v>
      </c>
      <c r="O28" s="2">
        <f t="shared" si="10"/>
        <v>79094636314.075317</v>
      </c>
      <c r="P28" s="15">
        <f t="shared" si="11"/>
        <v>0.10096611716352959</v>
      </c>
    </row>
    <row r="29" spans="1:23" x14ac:dyDescent="0.35">
      <c r="A29" s="3">
        <v>42767</v>
      </c>
      <c r="B29" s="4">
        <v>2515361</v>
      </c>
      <c r="C29" s="2">
        <f t="shared" si="0"/>
        <v>3264177.5208656359</v>
      </c>
      <c r="D29" s="2">
        <f t="shared" si="1"/>
        <v>2946446.5740090609</v>
      </c>
      <c r="E29" s="2">
        <f t="shared" si="2"/>
        <v>2813589.7686511027</v>
      </c>
      <c r="F29" s="2">
        <f t="shared" si="3"/>
        <v>748816.52086563595</v>
      </c>
      <c r="G29" s="2">
        <f t="shared" si="4"/>
        <v>560726181921.31543</v>
      </c>
      <c r="H29" s="15">
        <f t="shared" si="5"/>
        <v>0.29769743621914946</v>
      </c>
      <c r="I29" s="2"/>
      <c r="J29" s="2">
        <f t="shared" si="6"/>
        <v>431085.57400906086</v>
      </c>
      <c r="K29" s="2">
        <f t="shared" si="7"/>
        <v>185834772118.7215</v>
      </c>
      <c r="L29" s="15">
        <f t="shared" si="8"/>
        <v>0.17138119498913312</v>
      </c>
      <c r="M29" s="2"/>
      <c r="N29" s="2">
        <f t="shared" si="9"/>
        <v>298228.76865110267</v>
      </c>
      <c r="O29" s="2">
        <f t="shared" si="10"/>
        <v>88940398451.152924</v>
      </c>
      <c r="P29" s="15">
        <f t="shared" si="11"/>
        <v>0.11856300890850366</v>
      </c>
    </row>
    <row r="30" spans="1:23" x14ac:dyDescent="0.35">
      <c r="A30" s="3">
        <v>42795</v>
      </c>
      <c r="B30" s="4">
        <v>3105958</v>
      </c>
      <c r="C30" s="2">
        <f t="shared" si="0"/>
        <v>3189295.8687790725</v>
      </c>
      <c r="D30" s="2">
        <f t="shared" si="1"/>
        <v>2730903.7870045304</v>
      </c>
      <c r="E30" s="2">
        <f t="shared" si="2"/>
        <v>2545183.8768651104</v>
      </c>
      <c r="F30" s="2">
        <f t="shared" si="3"/>
        <v>83337.868779072538</v>
      </c>
      <c r="G30" s="2">
        <f t="shared" si="4"/>
        <v>6945200372.6379137</v>
      </c>
      <c r="H30" s="15">
        <f t="shared" si="5"/>
        <v>2.6831614844461046E-2</v>
      </c>
      <c r="I30" s="2"/>
      <c r="J30" s="2">
        <f t="shared" si="6"/>
        <v>375054.21299546957</v>
      </c>
      <c r="K30" s="2">
        <f t="shared" si="7"/>
        <v>140665662685.65106</v>
      </c>
      <c r="L30" s="15">
        <f t="shared" si="8"/>
        <v>0.12075315023431404</v>
      </c>
      <c r="M30" s="2"/>
      <c r="N30" s="2">
        <f t="shared" si="9"/>
        <v>560774.12313488964</v>
      </c>
      <c r="O30" s="2">
        <f t="shared" si="10"/>
        <v>314467617177.70435</v>
      </c>
      <c r="P30" s="15">
        <f t="shared" si="11"/>
        <v>0.18054787705915201</v>
      </c>
    </row>
    <row r="31" spans="1:23" x14ac:dyDescent="0.35">
      <c r="A31" s="3">
        <v>42826</v>
      </c>
      <c r="B31" s="4">
        <v>3139059</v>
      </c>
      <c r="C31" s="2">
        <f t="shared" si="0"/>
        <v>3180962.0819011652</v>
      </c>
      <c r="D31" s="2">
        <f t="shared" si="1"/>
        <v>2918430.8935022652</v>
      </c>
      <c r="E31" s="2">
        <f t="shared" si="2"/>
        <v>3049880.5876865112</v>
      </c>
      <c r="F31" s="2">
        <f t="shared" si="3"/>
        <v>41903.081901165191</v>
      </c>
      <c r="G31" s="2">
        <f t="shared" si="4"/>
        <v>1755868272.8157578</v>
      </c>
      <c r="H31" s="15">
        <f t="shared" si="5"/>
        <v>1.3348930969811396E-2</v>
      </c>
      <c r="I31" s="2"/>
      <c r="J31" s="2">
        <f t="shared" si="6"/>
        <v>220628.10649773479</v>
      </c>
      <c r="K31" s="2">
        <f t="shared" si="7"/>
        <v>48676761376.775803</v>
      </c>
      <c r="L31" s="15">
        <f t="shared" si="8"/>
        <v>7.0284791237671798E-2</v>
      </c>
      <c r="M31" s="2"/>
      <c r="N31" s="2">
        <f t="shared" si="9"/>
        <v>89178.412313488778</v>
      </c>
      <c r="O31" s="2">
        <f t="shared" si="10"/>
        <v>7952789222.7546072</v>
      </c>
      <c r="P31" s="15">
        <f t="shared" si="11"/>
        <v>2.8409281989758325E-2</v>
      </c>
    </row>
    <row r="32" spans="1:23" x14ac:dyDescent="0.35">
      <c r="A32" s="3">
        <v>42856</v>
      </c>
      <c r="B32" s="4">
        <v>3380355</v>
      </c>
      <c r="C32" s="2">
        <f t="shared" si="0"/>
        <v>3176771.7737110485</v>
      </c>
      <c r="D32" s="2">
        <f t="shared" si="1"/>
        <v>3028744.9467511326</v>
      </c>
      <c r="E32" s="2">
        <f t="shared" si="2"/>
        <v>3130141.1587686511</v>
      </c>
      <c r="F32" s="2">
        <f t="shared" si="3"/>
        <v>203583.22628895147</v>
      </c>
      <c r="G32" s="2">
        <f t="shared" si="4"/>
        <v>41446130026.218422</v>
      </c>
      <c r="H32" s="15">
        <f t="shared" si="5"/>
        <v>6.0225398305489057E-2</v>
      </c>
      <c r="I32" s="2"/>
      <c r="J32" s="2">
        <f t="shared" si="6"/>
        <v>351610.05324886739</v>
      </c>
      <c r="K32" s="2">
        <f t="shared" si="7"/>
        <v>123629629545.67136</v>
      </c>
      <c r="L32" s="15">
        <f t="shared" si="8"/>
        <v>0.10401571824523383</v>
      </c>
      <c r="M32" s="2"/>
      <c r="N32" s="2">
        <f t="shared" si="9"/>
        <v>250213.84123134892</v>
      </c>
      <c r="O32" s="2">
        <f t="shared" si="10"/>
        <v>62606966343.746689</v>
      </c>
      <c r="P32" s="15">
        <f t="shared" si="11"/>
        <v>7.401998938908752E-2</v>
      </c>
    </row>
    <row r="33" spans="1:16" x14ac:dyDescent="0.35">
      <c r="A33" s="3">
        <v>42887</v>
      </c>
      <c r="B33" s="4">
        <v>3612886</v>
      </c>
      <c r="C33" s="2">
        <f t="shared" si="0"/>
        <v>3197130.0963399438</v>
      </c>
      <c r="D33" s="2">
        <f t="shared" si="1"/>
        <v>3204549.9733755663</v>
      </c>
      <c r="E33" s="2">
        <f t="shared" si="2"/>
        <v>3355333.6158768651</v>
      </c>
      <c r="F33" s="2">
        <f t="shared" si="3"/>
        <v>415755.90366005618</v>
      </c>
      <c r="G33" s="2">
        <f t="shared" si="4"/>
        <v>172852971428.18991</v>
      </c>
      <c r="H33" s="15">
        <f t="shared" si="5"/>
        <v>0.11507584342823332</v>
      </c>
      <c r="I33" s="2"/>
      <c r="J33" s="2">
        <f t="shared" si="6"/>
        <v>408336.0266244337</v>
      </c>
      <c r="K33" s="2">
        <f t="shared" si="7"/>
        <v>166738310639.43024</v>
      </c>
      <c r="L33" s="15">
        <f t="shared" si="8"/>
        <v>0.11302211767114537</v>
      </c>
      <c r="M33" s="2"/>
      <c r="N33" s="2">
        <f t="shared" si="9"/>
        <v>257552.38412313489</v>
      </c>
      <c r="O33" s="2">
        <f t="shared" si="10"/>
        <v>66333230567.510826</v>
      </c>
      <c r="P33" s="15">
        <f t="shared" si="11"/>
        <v>7.1287160492507898E-2</v>
      </c>
    </row>
    <row r="34" spans="1:16" x14ac:dyDescent="0.35">
      <c r="A34" s="3">
        <v>42917</v>
      </c>
      <c r="B34" s="4">
        <v>3765824</v>
      </c>
      <c r="C34" s="2">
        <f t="shared" si="0"/>
        <v>3238705.6867059497</v>
      </c>
      <c r="D34" s="2">
        <f t="shared" si="1"/>
        <v>3408717.9866877832</v>
      </c>
      <c r="E34" s="2">
        <f t="shared" si="2"/>
        <v>3587130.7615876864</v>
      </c>
      <c r="F34" s="2">
        <f t="shared" si="3"/>
        <v>527118.31329405028</v>
      </c>
      <c r="G34" s="2">
        <f t="shared" si="4"/>
        <v>277853716209.96454</v>
      </c>
      <c r="H34" s="15">
        <f t="shared" si="5"/>
        <v>0.13997422962253422</v>
      </c>
      <c r="I34" s="2"/>
      <c r="J34" s="2">
        <f t="shared" si="6"/>
        <v>357106.01331221685</v>
      </c>
      <c r="K34" s="2">
        <f t="shared" si="7"/>
        <v>127524704743.74519</v>
      </c>
      <c r="L34" s="15">
        <f t="shared" si="8"/>
        <v>9.4828120834169846E-2</v>
      </c>
      <c r="M34" s="2"/>
      <c r="N34" s="2">
        <f t="shared" si="9"/>
        <v>178693.23841231363</v>
      </c>
      <c r="O34" s="2">
        <f t="shared" si="10"/>
        <v>31931273454.279961</v>
      </c>
      <c r="P34" s="15">
        <f t="shared" si="11"/>
        <v>4.7451298417640765E-2</v>
      </c>
    </row>
    <row r="35" spans="1:16" x14ac:dyDescent="0.35">
      <c r="A35" s="3">
        <v>42948</v>
      </c>
      <c r="B35" s="4">
        <v>3771842</v>
      </c>
      <c r="C35" s="2">
        <f t="shared" si="0"/>
        <v>3291417.5180353546</v>
      </c>
      <c r="D35" s="2">
        <f t="shared" si="1"/>
        <v>3587270.9933438916</v>
      </c>
      <c r="E35" s="2">
        <f t="shared" si="2"/>
        <v>3747954.6761587686</v>
      </c>
      <c r="F35" s="2">
        <f t="shared" si="3"/>
        <v>480424.48196464544</v>
      </c>
      <c r="G35" s="2">
        <f t="shared" si="4"/>
        <v>230807682870.99792</v>
      </c>
      <c r="H35" s="15">
        <f t="shared" si="5"/>
        <v>0.12737131671068019</v>
      </c>
      <c r="I35" s="2"/>
      <c r="J35" s="2">
        <f t="shared" si="6"/>
        <v>184571.00665610842</v>
      </c>
      <c r="K35" s="2">
        <f t="shared" si="7"/>
        <v>34066456498.049221</v>
      </c>
      <c r="L35" s="15">
        <f t="shared" si="8"/>
        <v>4.8933917872516511E-2</v>
      </c>
      <c r="M35" s="2"/>
      <c r="N35" s="2">
        <f t="shared" si="9"/>
        <v>23887.323841231409</v>
      </c>
      <c r="O35" s="2">
        <f t="shared" si="10"/>
        <v>570604240.29586256</v>
      </c>
      <c r="P35" s="15">
        <f t="shared" si="11"/>
        <v>6.3330658710601898E-3</v>
      </c>
    </row>
    <row r="36" spans="1:16" x14ac:dyDescent="0.35">
      <c r="A36" s="3">
        <v>42979</v>
      </c>
      <c r="B36" s="4">
        <v>3356365</v>
      </c>
      <c r="C36" s="2">
        <f t="shared" si="0"/>
        <v>3339459.9662318192</v>
      </c>
      <c r="D36" s="2">
        <f t="shared" si="1"/>
        <v>3679556.4966719458</v>
      </c>
      <c r="E36" s="2">
        <f t="shared" si="2"/>
        <v>3769453.2676158771</v>
      </c>
      <c r="F36" s="2">
        <f t="shared" si="3"/>
        <v>16905.033768180758</v>
      </c>
      <c r="G36" s="2">
        <f t="shared" si="4"/>
        <v>285780166.70333171</v>
      </c>
      <c r="H36" s="15">
        <f t="shared" si="5"/>
        <v>5.0367089896899645E-3</v>
      </c>
      <c r="I36" s="2"/>
      <c r="J36" s="2">
        <f t="shared" si="6"/>
        <v>323191.49667194579</v>
      </c>
      <c r="K36" s="2">
        <f t="shared" si="7"/>
        <v>104452743521.05235</v>
      </c>
      <c r="L36" s="15">
        <f t="shared" si="8"/>
        <v>9.6292118608061333E-2</v>
      </c>
      <c r="M36" s="2"/>
      <c r="N36" s="2">
        <f t="shared" si="9"/>
        <v>413088.26761587709</v>
      </c>
      <c r="O36" s="2">
        <f t="shared" si="10"/>
        <v>170641916841.88651</v>
      </c>
      <c r="P36" s="15">
        <f t="shared" si="11"/>
        <v>0.12307608606807575</v>
      </c>
    </row>
    <row r="37" spans="1:16" x14ac:dyDescent="0.35">
      <c r="A37" s="3">
        <v>43009</v>
      </c>
      <c r="B37" s="4">
        <v>3490100</v>
      </c>
      <c r="C37" s="2">
        <f t="shared" si="0"/>
        <v>3341150.4696086375</v>
      </c>
      <c r="D37" s="2">
        <f t="shared" si="1"/>
        <v>3517960.7483359729</v>
      </c>
      <c r="E37" s="2">
        <f t="shared" si="2"/>
        <v>3397673.8267615875</v>
      </c>
      <c r="F37" s="2">
        <f t="shared" si="3"/>
        <v>148949.5303913625</v>
      </c>
      <c r="G37" s="2">
        <f t="shared" si="4"/>
        <v>22185962603.807419</v>
      </c>
      <c r="H37" s="15">
        <f t="shared" si="5"/>
        <v>4.2677725678737712E-2</v>
      </c>
      <c r="I37" s="2"/>
      <c r="J37" s="2">
        <f t="shared" si="6"/>
        <v>27860.748335972894</v>
      </c>
      <c r="K37" s="2">
        <f t="shared" si="7"/>
        <v>776221297.84041643</v>
      </c>
      <c r="L37" s="15">
        <f t="shared" si="8"/>
        <v>7.9827937124933076E-3</v>
      </c>
      <c r="M37" s="2"/>
      <c r="N37" s="2">
        <f t="shared" si="9"/>
        <v>92426.173238412477</v>
      </c>
      <c r="O37" s="2">
        <f t="shared" si="10"/>
        <v>8542597499.497035</v>
      </c>
      <c r="P37" s="15">
        <f t="shared" si="11"/>
        <v>2.6482385386783325E-2</v>
      </c>
    </row>
    <row r="38" spans="1:16" x14ac:dyDescent="0.35">
      <c r="A38" s="3">
        <v>43040</v>
      </c>
      <c r="B38" s="4">
        <v>3163659</v>
      </c>
      <c r="C38" s="2">
        <f t="shared" ref="C38:C57" si="12">0.1*B37+0.9*C37</f>
        <v>3356045.4226477738</v>
      </c>
      <c r="D38" s="2">
        <f t="shared" ref="D38:D57" si="13">0.5*B37+0.5*D37</f>
        <v>3504030.3741679862</v>
      </c>
      <c r="E38" s="2">
        <f t="shared" ref="E38:E57" si="14">0.9*B37+0.1*E37</f>
        <v>3480857.382676159</v>
      </c>
      <c r="F38" s="2">
        <f t="shared" si="3"/>
        <v>192386.42264777375</v>
      </c>
      <c r="G38" s="2">
        <f t="shared" si="4"/>
        <v>37012535619.207832</v>
      </c>
      <c r="H38" s="15">
        <f t="shared" si="5"/>
        <v>6.0811365146424996E-2</v>
      </c>
      <c r="I38" s="2"/>
      <c r="J38" s="2">
        <f t="shared" si="6"/>
        <v>340371.37416798621</v>
      </c>
      <c r="K38" s="2">
        <f t="shared" si="7"/>
        <v>115852672353.00328</v>
      </c>
      <c r="L38" s="15">
        <f t="shared" si="8"/>
        <v>0.10758788294439642</v>
      </c>
      <c r="M38" s="2"/>
      <c r="N38" s="2">
        <f t="shared" si="9"/>
        <v>317198.38267615903</v>
      </c>
      <c r="O38" s="2">
        <f t="shared" si="10"/>
        <v>100614813972.37103</v>
      </c>
      <c r="P38" s="15">
        <f t="shared" si="11"/>
        <v>0.1002631391929911</v>
      </c>
    </row>
    <row r="39" spans="1:16" x14ac:dyDescent="0.35">
      <c r="A39" s="3">
        <v>43070</v>
      </c>
      <c r="B39" s="4">
        <v>3167124</v>
      </c>
      <c r="C39" s="2">
        <f t="shared" si="12"/>
        <v>3336806.7803829964</v>
      </c>
      <c r="D39" s="2">
        <f t="shared" si="13"/>
        <v>3333844.6870839931</v>
      </c>
      <c r="E39" s="2">
        <f t="shared" si="14"/>
        <v>3195378.838267616</v>
      </c>
      <c r="F39" s="2">
        <f t="shared" si="3"/>
        <v>169682.78038299643</v>
      </c>
      <c r="G39" s="2">
        <f t="shared" si="4"/>
        <v>28792245958.504196</v>
      </c>
      <c r="H39" s="15">
        <f t="shared" si="5"/>
        <v>5.3576298365013944E-2</v>
      </c>
      <c r="I39" s="2"/>
      <c r="J39" s="2">
        <f t="shared" si="6"/>
        <v>166720.68708399311</v>
      </c>
      <c r="K39" s="2">
        <f t="shared" si="7"/>
        <v>27795787501.758747</v>
      </c>
      <c r="L39" s="15">
        <f t="shared" si="8"/>
        <v>5.2641035552757995E-2</v>
      </c>
      <c r="M39" s="2"/>
      <c r="N39" s="2">
        <f t="shared" si="9"/>
        <v>28254.838267615996</v>
      </c>
      <c r="O39" s="2">
        <f t="shared" si="10"/>
        <v>798335885.52913737</v>
      </c>
      <c r="P39" s="15">
        <f t="shared" si="11"/>
        <v>8.9212920831694617E-3</v>
      </c>
    </row>
    <row r="40" spans="1:16" x14ac:dyDescent="0.35">
      <c r="A40" s="3">
        <v>43101</v>
      </c>
      <c r="B40" s="4">
        <v>2883810</v>
      </c>
      <c r="C40" s="2">
        <f t="shared" si="12"/>
        <v>3319838.5023446968</v>
      </c>
      <c r="D40" s="2">
        <f t="shared" si="13"/>
        <v>3250484.3435419966</v>
      </c>
      <c r="E40" s="2">
        <f t="shared" si="14"/>
        <v>3169949.4838267616</v>
      </c>
      <c r="F40" s="2">
        <f t="shared" si="3"/>
        <v>436028.50234469678</v>
      </c>
      <c r="G40" s="2">
        <f t="shared" si="4"/>
        <v>190120854856.95926</v>
      </c>
      <c r="H40" s="15">
        <f t="shared" si="5"/>
        <v>0.15119876217389383</v>
      </c>
      <c r="I40" s="2"/>
      <c r="J40" s="2">
        <f t="shared" si="6"/>
        <v>366674.34354199655</v>
      </c>
      <c r="K40" s="2">
        <f t="shared" si="7"/>
        <v>134450074211.95412</v>
      </c>
      <c r="L40" s="15">
        <f t="shared" si="8"/>
        <v>0.12714927250477548</v>
      </c>
      <c r="M40" s="2"/>
      <c r="N40" s="2">
        <f t="shared" si="9"/>
        <v>286139.4838267616</v>
      </c>
      <c r="O40" s="2">
        <f t="shared" si="10"/>
        <v>81875804204.645569</v>
      </c>
      <c r="P40" s="15">
        <f t="shared" si="11"/>
        <v>9.9222724044497251E-2</v>
      </c>
    </row>
    <row r="41" spans="1:16" x14ac:dyDescent="0.35">
      <c r="A41" s="3">
        <v>43132</v>
      </c>
      <c r="B41" s="4">
        <v>2610667</v>
      </c>
      <c r="C41" s="2">
        <f t="shared" si="12"/>
        <v>3276235.6521102274</v>
      </c>
      <c r="D41" s="2">
        <f t="shared" si="13"/>
        <v>3067147.1717709983</v>
      </c>
      <c r="E41" s="2">
        <f t="shared" si="14"/>
        <v>2912423.9483826761</v>
      </c>
      <c r="F41" s="2">
        <f t="shared" si="3"/>
        <v>665568.65211022738</v>
      </c>
      <c r="G41" s="2">
        <f t="shared" si="4"/>
        <v>442981630671.82489</v>
      </c>
      <c r="H41" s="15">
        <f t="shared" si="5"/>
        <v>0.25494199455933192</v>
      </c>
      <c r="I41" s="2"/>
      <c r="J41" s="2">
        <f t="shared" si="6"/>
        <v>456480.17177099828</v>
      </c>
      <c r="K41" s="2">
        <f t="shared" si="7"/>
        <v>208374147220.08008</v>
      </c>
      <c r="L41" s="15">
        <f t="shared" si="8"/>
        <v>0.17485193315386385</v>
      </c>
      <c r="M41" s="2"/>
      <c r="N41" s="2">
        <f t="shared" si="9"/>
        <v>301756.94838267611</v>
      </c>
      <c r="O41" s="2">
        <f t="shared" si="10"/>
        <v>91057255897.225052</v>
      </c>
      <c r="P41" s="15">
        <f t="shared" si="11"/>
        <v>0.11558615035264019</v>
      </c>
    </row>
    <row r="42" spans="1:16" x14ac:dyDescent="0.35">
      <c r="A42" s="3">
        <v>43160</v>
      </c>
      <c r="B42" s="4">
        <v>3129205</v>
      </c>
      <c r="C42" s="2">
        <f t="shared" si="12"/>
        <v>3209678.7868992048</v>
      </c>
      <c r="D42" s="2">
        <f t="shared" si="13"/>
        <v>2838907.0858854991</v>
      </c>
      <c r="E42" s="2">
        <f t="shared" si="14"/>
        <v>2640842.6948382678</v>
      </c>
      <c r="F42" s="2">
        <f t="shared" si="3"/>
        <v>80473.786899204832</v>
      </c>
      <c r="G42" s="2">
        <f t="shared" si="4"/>
        <v>6476030377.8986311</v>
      </c>
      <c r="H42" s="15">
        <f t="shared" si="5"/>
        <v>2.5717007003122145E-2</v>
      </c>
      <c r="I42" s="2"/>
      <c r="J42" s="2">
        <f t="shared" si="6"/>
        <v>290297.91411450086</v>
      </c>
      <c r="K42" s="2">
        <f t="shared" si="7"/>
        <v>84272878939.230118</v>
      </c>
      <c r="L42" s="15">
        <f t="shared" si="8"/>
        <v>9.2770500531125594E-2</v>
      </c>
      <c r="M42" s="2"/>
      <c r="N42" s="2">
        <f t="shared" si="9"/>
        <v>488362.30516173225</v>
      </c>
      <c r="O42" s="2">
        <f t="shared" si="10"/>
        <v>238497741102.88089</v>
      </c>
      <c r="P42" s="15">
        <f t="shared" si="11"/>
        <v>0.15606593532917537</v>
      </c>
    </row>
    <row r="43" spans="1:16" x14ac:dyDescent="0.35">
      <c r="A43" s="3">
        <v>43191</v>
      </c>
      <c r="B43" s="4">
        <v>3200527</v>
      </c>
      <c r="C43" s="2">
        <f t="shared" si="12"/>
        <v>3201631.4082092843</v>
      </c>
      <c r="D43" s="2">
        <f t="shared" si="13"/>
        <v>2984056.0429427493</v>
      </c>
      <c r="E43" s="2">
        <f t="shared" si="14"/>
        <v>3080368.7694838266</v>
      </c>
      <c r="F43" s="2">
        <f t="shared" si="3"/>
        <v>1104.4082092843018</v>
      </c>
      <c r="G43" s="2">
        <f t="shared" si="4"/>
        <v>1219717.4927345582</v>
      </c>
      <c r="H43" s="15">
        <f t="shared" si="5"/>
        <v>3.4507073656441639E-4</v>
      </c>
      <c r="I43" s="2"/>
      <c r="J43" s="2">
        <f t="shared" si="6"/>
        <v>216470.95705725066</v>
      </c>
      <c r="K43" s="2">
        <f t="shared" si="7"/>
        <v>46859675249.282059</v>
      </c>
      <c r="L43" s="15">
        <f t="shared" si="8"/>
        <v>6.7636035270832173E-2</v>
      </c>
      <c r="M43" s="2"/>
      <c r="N43" s="2">
        <f t="shared" si="9"/>
        <v>120158.23051617341</v>
      </c>
      <c r="O43" s="2">
        <f t="shared" si="10"/>
        <v>14438000360.777866</v>
      </c>
      <c r="P43" s="15">
        <f t="shared" si="11"/>
        <v>3.754326412999278E-2</v>
      </c>
    </row>
    <row r="44" spans="1:16" x14ac:dyDescent="0.35">
      <c r="A44" s="3">
        <v>43221</v>
      </c>
      <c r="B44" s="4">
        <v>3547804</v>
      </c>
      <c r="C44" s="2">
        <f t="shared" si="12"/>
        <v>3201520.9673883561</v>
      </c>
      <c r="D44" s="2">
        <f t="shared" si="13"/>
        <v>3092291.5214713747</v>
      </c>
      <c r="E44" s="2">
        <f t="shared" si="14"/>
        <v>3188511.176948383</v>
      </c>
      <c r="F44" s="2">
        <f t="shared" si="3"/>
        <v>346283.0326116439</v>
      </c>
      <c r="G44" s="2">
        <f t="shared" si="4"/>
        <v>119911938674.71683</v>
      </c>
      <c r="H44" s="15">
        <f t="shared" si="5"/>
        <v>9.7604893791101169E-2</v>
      </c>
      <c r="I44" s="2"/>
      <c r="J44" s="2">
        <f t="shared" si="6"/>
        <v>455512.47852862533</v>
      </c>
      <c r="K44" s="2">
        <f t="shared" si="7"/>
        <v>207491618095.29135</v>
      </c>
      <c r="L44" s="15">
        <f t="shared" si="8"/>
        <v>0.12839279693258854</v>
      </c>
      <c r="M44" s="2"/>
      <c r="N44" s="2">
        <f t="shared" si="9"/>
        <v>359292.82305161702</v>
      </c>
      <c r="O44" s="2">
        <f t="shared" si="10"/>
        <v>129091332696.40057</v>
      </c>
      <c r="P44" s="15">
        <f t="shared" si="11"/>
        <v>0.10127189186652279</v>
      </c>
    </row>
    <row r="45" spans="1:16" x14ac:dyDescent="0.35">
      <c r="A45" s="3">
        <v>43252</v>
      </c>
      <c r="B45" s="4">
        <v>3766323</v>
      </c>
      <c r="C45" s="2">
        <f t="shared" si="12"/>
        <v>3236149.2706495207</v>
      </c>
      <c r="D45" s="2">
        <f t="shared" si="13"/>
        <v>3320047.7607356873</v>
      </c>
      <c r="E45" s="2">
        <f t="shared" si="14"/>
        <v>3511874.7176948385</v>
      </c>
      <c r="F45" s="2">
        <f t="shared" si="3"/>
        <v>530173.72935047932</v>
      </c>
      <c r="G45" s="2">
        <f t="shared" si="4"/>
        <v>281084183293.39532</v>
      </c>
      <c r="H45" s="15">
        <f t="shared" si="5"/>
        <v>0.14076693086346534</v>
      </c>
      <c r="I45" s="2"/>
      <c r="J45" s="2">
        <f t="shared" si="6"/>
        <v>446275.23926431267</v>
      </c>
      <c r="K45" s="2">
        <f t="shared" si="7"/>
        <v>199161589180.41953</v>
      </c>
      <c r="L45" s="15">
        <f t="shared" si="8"/>
        <v>0.11849096300670778</v>
      </c>
      <c r="M45" s="2"/>
      <c r="N45" s="2">
        <f t="shared" si="9"/>
        <v>254448.28230516147</v>
      </c>
      <c r="O45" s="2">
        <f t="shared" si="10"/>
        <v>64743928368.04715</v>
      </c>
      <c r="P45" s="15">
        <f t="shared" si="11"/>
        <v>6.755880531360732E-2</v>
      </c>
    </row>
    <row r="46" spans="1:16" x14ac:dyDescent="0.35">
      <c r="A46" s="3">
        <v>43282</v>
      </c>
      <c r="B46" s="4">
        <v>3935589</v>
      </c>
      <c r="C46" s="2">
        <f t="shared" si="12"/>
        <v>3289166.643584569</v>
      </c>
      <c r="D46" s="2">
        <f t="shared" si="13"/>
        <v>3543185.3803678434</v>
      </c>
      <c r="E46" s="2">
        <f t="shared" si="14"/>
        <v>3740878.1717694839</v>
      </c>
      <c r="F46" s="2">
        <f t="shared" si="3"/>
        <v>646422.35641543102</v>
      </c>
      <c r="G46" s="2">
        <f t="shared" si="4"/>
        <v>417861862873.67853</v>
      </c>
      <c r="H46" s="15">
        <f t="shared" si="5"/>
        <v>0.16425047341463528</v>
      </c>
      <c r="I46" s="2"/>
      <c r="J46" s="2">
        <f t="shared" si="6"/>
        <v>392403.61963215657</v>
      </c>
      <c r="K46" s="2">
        <f t="shared" si="7"/>
        <v>153980600700.41821</v>
      </c>
      <c r="L46" s="15">
        <f t="shared" si="8"/>
        <v>9.9706452993988087E-2</v>
      </c>
      <c r="M46" s="2"/>
      <c r="N46" s="2">
        <f t="shared" si="9"/>
        <v>194710.82823051605</v>
      </c>
      <c r="O46" s="2">
        <f t="shared" si="10"/>
        <v>37912306630.213524</v>
      </c>
      <c r="P46" s="15">
        <f t="shared" si="11"/>
        <v>4.9474380640487627E-2</v>
      </c>
    </row>
    <row r="47" spans="1:16" x14ac:dyDescent="0.35">
      <c r="A47" s="3">
        <v>43313</v>
      </c>
      <c r="B47" s="4">
        <v>3917884</v>
      </c>
      <c r="C47" s="2">
        <f t="shared" si="12"/>
        <v>3353808.8792261123</v>
      </c>
      <c r="D47" s="2">
        <f t="shared" si="13"/>
        <v>3739387.1901839217</v>
      </c>
      <c r="E47" s="2">
        <f t="shared" si="14"/>
        <v>3916117.9171769484</v>
      </c>
      <c r="F47" s="2">
        <f t="shared" si="3"/>
        <v>564075.12077388773</v>
      </c>
      <c r="G47" s="2">
        <f t="shared" si="4"/>
        <v>318180741876.07605</v>
      </c>
      <c r="H47" s="15">
        <f t="shared" si="5"/>
        <v>0.1439744312934961</v>
      </c>
      <c r="I47" s="2"/>
      <c r="J47" s="2">
        <f t="shared" si="6"/>
        <v>178496.80981607828</v>
      </c>
      <c r="K47" s="2">
        <f t="shared" si="7"/>
        <v>31861111114.51722</v>
      </c>
      <c r="L47" s="15">
        <f t="shared" si="8"/>
        <v>4.5559493291807078E-2</v>
      </c>
      <c r="M47" s="2"/>
      <c r="N47" s="2">
        <f t="shared" si="9"/>
        <v>1766.0828230516054</v>
      </c>
      <c r="O47" s="2">
        <f t="shared" si="10"/>
        <v>3119048.537877928</v>
      </c>
      <c r="P47" s="15">
        <f t="shared" si="11"/>
        <v>4.5077465873201081E-4</v>
      </c>
    </row>
    <row r="48" spans="1:16" x14ac:dyDescent="0.35">
      <c r="A48" s="3">
        <v>43344</v>
      </c>
      <c r="B48" s="4">
        <v>3564970</v>
      </c>
      <c r="C48" s="2">
        <f t="shared" si="12"/>
        <v>3410216.3913035011</v>
      </c>
      <c r="D48" s="2">
        <f t="shared" si="13"/>
        <v>3828635.5950919609</v>
      </c>
      <c r="E48" s="2">
        <f t="shared" si="14"/>
        <v>3917707.3917176947</v>
      </c>
      <c r="F48" s="2">
        <f t="shared" si="3"/>
        <v>154753.60869649891</v>
      </c>
      <c r="G48" s="2">
        <f t="shared" si="4"/>
        <v>23948679404.589104</v>
      </c>
      <c r="H48" s="15">
        <f t="shared" si="5"/>
        <v>4.3409512196876526E-2</v>
      </c>
      <c r="I48" s="2"/>
      <c r="J48" s="2">
        <f t="shared" si="6"/>
        <v>263665.59509196086</v>
      </c>
      <c r="K48" s="2">
        <f t="shared" si="7"/>
        <v>69519546035.197861</v>
      </c>
      <c r="L48" s="15">
        <f t="shared" si="8"/>
        <v>7.3960116099703752E-2</v>
      </c>
      <c r="M48" s="2"/>
      <c r="N48" s="2">
        <f t="shared" si="9"/>
        <v>352737.3917176947</v>
      </c>
      <c r="O48" s="2">
        <f t="shared" si="10"/>
        <v>124423667515.8024</v>
      </c>
      <c r="P48" s="15">
        <f t="shared" si="11"/>
        <v>9.8945402546920372E-2</v>
      </c>
    </row>
    <row r="49" spans="1:16" x14ac:dyDescent="0.35">
      <c r="A49" s="3">
        <v>43374</v>
      </c>
      <c r="B49" s="4">
        <v>3602455</v>
      </c>
      <c r="C49" s="2">
        <f t="shared" si="12"/>
        <v>3425691.7521731509</v>
      </c>
      <c r="D49" s="2">
        <f t="shared" si="13"/>
        <v>3696802.7975459807</v>
      </c>
      <c r="E49" s="2">
        <f t="shared" si="14"/>
        <v>3600243.7391717695</v>
      </c>
      <c r="F49" s="2">
        <f t="shared" si="3"/>
        <v>176763.24782684911</v>
      </c>
      <c r="G49" s="2">
        <f t="shared" si="4"/>
        <v>31245245782.296078</v>
      </c>
      <c r="H49" s="15">
        <f t="shared" si="5"/>
        <v>4.9067440905396213E-2</v>
      </c>
      <c r="I49" s="2"/>
      <c r="J49" s="2">
        <f t="shared" si="6"/>
        <v>94347.797545980662</v>
      </c>
      <c r="K49" s="2">
        <f t="shared" si="7"/>
        <v>8901506901.7773552</v>
      </c>
      <c r="L49" s="15">
        <f t="shared" si="8"/>
        <v>2.6189861509992675E-2</v>
      </c>
      <c r="M49" s="2"/>
      <c r="N49" s="2">
        <f t="shared" si="9"/>
        <v>2211.26082823053</v>
      </c>
      <c r="O49" s="2">
        <f t="shared" si="10"/>
        <v>4889674.4504667697</v>
      </c>
      <c r="P49" s="15">
        <f t="shared" si="11"/>
        <v>6.1382052745434154E-4</v>
      </c>
    </row>
    <row r="50" spans="1:16" x14ac:dyDescent="0.35">
      <c r="A50" s="3">
        <v>43405</v>
      </c>
      <c r="B50" s="4">
        <v>3326859</v>
      </c>
      <c r="C50" s="2">
        <f t="shared" si="12"/>
        <v>3443368.0769558358</v>
      </c>
      <c r="D50" s="2">
        <f t="shared" si="13"/>
        <v>3649628.8987729903</v>
      </c>
      <c r="E50" s="2">
        <f t="shared" si="14"/>
        <v>3602233.8739171769</v>
      </c>
      <c r="F50" s="2">
        <f t="shared" si="3"/>
        <v>116509.0769558358</v>
      </c>
      <c r="G50" s="2">
        <f t="shared" si="4"/>
        <v>13574365013.100868</v>
      </c>
      <c r="H50" s="15">
        <f t="shared" si="5"/>
        <v>3.5020743877584172E-2</v>
      </c>
      <c r="I50" s="2"/>
      <c r="J50" s="2">
        <f t="shared" si="6"/>
        <v>322769.89877299033</v>
      </c>
      <c r="K50" s="2">
        <f t="shared" si="7"/>
        <v>104180407553.92642</v>
      </c>
      <c r="L50" s="15">
        <f t="shared" si="8"/>
        <v>9.7019410432780687E-2</v>
      </c>
      <c r="M50" s="2"/>
      <c r="N50" s="2">
        <f t="shared" si="9"/>
        <v>275374.87391717685</v>
      </c>
      <c r="O50" s="2">
        <f t="shared" si="10"/>
        <v>75831321184.901047</v>
      </c>
      <c r="P50" s="15">
        <f t="shared" si="11"/>
        <v>8.2773232624880358E-2</v>
      </c>
    </row>
    <row r="51" spans="1:16" x14ac:dyDescent="0.35">
      <c r="A51" s="3">
        <v>43435</v>
      </c>
      <c r="B51" s="4">
        <v>3441693</v>
      </c>
      <c r="C51" s="2">
        <f t="shared" si="12"/>
        <v>3431717.1692602523</v>
      </c>
      <c r="D51" s="2">
        <f t="shared" si="13"/>
        <v>3488243.9493864952</v>
      </c>
      <c r="E51" s="2">
        <f t="shared" si="14"/>
        <v>3354396.4873917177</v>
      </c>
      <c r="F51" s="2">
        <f t="shared" si="3"/>
        <v>9975.8307397477329</v>
      </c>
      <c r="G51" s="2">
        <f t="shared" si="4"/>
        <v>99517198.948095798</v>
      </c>
      <c r="H51" s="15">
        <f t="shared" si="5"/>
        <v>2.8985242843413785E-3</v>
      </c>
      <c r="I51" s="2"/>
      <c r="J51" s="2">
        <f t="shared" si="6"/>
        <v>46550.949386495166</v>
      </c>
      <c r="K51" s="2">
        <f t="shared" si="7"/>
        <v>2166990888.7840347</v>
      </c>
      <c r="L51" s="15">
        <f t="shared" si="8"/>
        <v>1.3525596090788796E-2</v>
      </c>
      <c r="M51" s="2"/>
      <c r="N51" s="2">
        <f t="shared" si="9"/>
        <v>87296.512608282268</v>
      </c>
      <c r="O51" s="2">
        <f t="shared" si="10"/>
        <v>7620681113.5679846</v>
      </c>
      <c r="P51" s="15">
        <f t="shared" si="11"/>
        <v>2.5364410076169568E-2</v>
      </c>
    </row>
    <row r="52" spans="1:16" x14ac:dyDescent="0.35">
      <c r="A52" s="3">
        <v>43466</v>
      </c>
      <c r="B52" s="4">
        <v>3211600</v>
      </c>
      <c r="C52" s="2">
        <f t="shared" si="12"/>
        <v>3432714.7523342269</v>
      </c>
      <c r="D52" s="2">
        <f t="shared" si="13"/>
        <v>3464968.4746932476</v>
      </c>
      <c r="E52" s="2">
        <f t="shared" si="14"/>
        <v>3432963.3487391719</v>
      </c>
      <c r="F52" s="2">
        <f t="shared" si="3"/>
        <v>221114.75233422685</v>
      </c>
      <c r="G52" s="2">
        <f t="shared" si="4"/>
        <v>48891733699.826477</v>
      </c>
      <c r="H52" s="15">
        <f t="shared" si="5"/>
        <v>6.8848783265109875E-2</v>
      </c>
      <c r="I52" s="2"/>
      <c r="J52" s="2">
        <f t="shared" si="6"/>
        <v>253368.47469324758</v>
      </c>
      <c r="K52" s="2">
        <f t="shared" si="7"/>
        <v>64195583968.382843</v>
      </c>
      <c r="L52" s="15">
        <f t="shared" si="8"/>
        <v>7.8891666052200646E-2</v>
      </c>
      <c r="M52" s="2"/>
      <c r="N52" s="2">
        <f t="shared" si="9"/>
        <v>221363.34873917187</v>
      </c>
      <c r="O52" s="2">
        <f t="shared" si="10"/>
        <v>49001732165.020226</v>
      </c>
      <c r="P52" s="15">
        <f t="shared" si="11"/>
        <v>6.8926189045700539E-2</v>
      </c>
    </row>
    <row r="53" spans="1:16" x14ac:dyDescent="0.35">
      <c r="A53" s="3">
        <v>43497</v>
      </c>
      <c r="B53" s="4">
        <v>2998119</v>
      </c>
      <c r="C53" s="2">
        <f t="shared" si="12"/>
        <v>3410603.2771008043</v>
      </c>
      <c r="D53" s="2">
        <f t="shared" si="13"/>
        <v>3338284.237346624</v>
      </c>
      <c r="E53" s="2">
        <f t="shared" si="14"/>
        <v>3233736.334873917</v>
      </c>
      <c r="F53" s="2">
        <f t="shared" si="3"/>
        <v>412484.27710080426</v>
      </c>
      <c r="G53" s="2">
        <f t="shared" si="4"/>
        <v>170143278855.37308</v>
      </c>
      <c r="H53" s="15">
        <f t="shared" si="5"/>
        <v>0.13758102233460523</v>
      </c>
      <c r="I53" s="2"/>
      <c r="J53" s="2">
        <f t="shared" si="6"/>
        <v>340165.23734662402</v>
      </c>
      <c r="K53" s="2">
        <f t="shared" si="7"/>
        <v>115712388699.08505</v>
      </c>
      <c r="L53" s="15">
        <f t="shared" si="8"/>
        <v>0.11345955158772017</v>
      </c>
      <c r="M53" s="2"/>
      <c r="N53" s="2">
        <f t="shared" si="9"/>
        <v>235617.33487391705</v>
      </c>
      <c r="O53" s="2">
        <f t="shared" si="10"/>
        <v>55515528493.087563</v>
      </c>
      <c r="P53" s="15">
        <f t="shared" si="11"/>
        <v>7.8588386543001473E-2</v>
      </c>
    </row>
    <row r="54" spans="1:16" x14ac:dyDescent="0.35">
      <c r="A54" s="3">
        <v>43525</v>
      </c>
      <c r="B54" s="4">
        <v>3472440</v>
      </c>
      <c r="C54" s="2">
        <f t="shared" si="12"/>
        <v>3369354.8493907237</v>
      </c>
      <c r="D54" s="2">
        <f t="shared" si="13"/>
        <v>3168201.618673312</v>
      </c>
      <c r="E54" s="2">
        <f t="shared" si="14"/>
        <v>3021680.7334873918</v>
      </c>
      <c r="F54" s="2">
        <f t="shared" si="3"/>
        <v>103085.15060927626</v>
      </c>
      <c r="G54" s="2">
        <f t="shared" si="4"/>
        <v>10626548276.137169</v>
      </c>
      <c r="H54" s="15">
        <f t="shared" si="5"/>
        <v>2.9686661428066793E-2</v>
      </c>
      <c r="I54" s="2"/>
      <c r="J54" s="2">
        <f t="shared" si="6"/>
        <v>304238.38132668799</v>
      </c>
      <c r="K54" s="2">
        <f t="shared" si="7"/>
        <v>92560992672.283203</v>
      </c>
      <c r="L54" s="15">
        <f t="shared" si="8"/>
        <v>8.7615158599338785E-2</v>
      </c>
      <c r="M54" s="2"/>
      <c r="N54" s="2">
        <f t="shared" si="9"/>
        <v>450759.26651260816</v>
      </c>
      <c r="O54" s="2">
        <f t="shared" si="10"/>
        <v>203183916346.9845</v>
      </c>
      <c r="P54" s="15">
        <f t="shared" si="11"/>
        <v>0.12981052703937523</v>
      </c>
    </row>
    <row r="55" spans="1:16" x14ac:dyDescent="0.35">
      <c r="A55" s="3">
        <v>43556</v>
      </c>
      <c r="B55" s="4">
        <v>3563007</v>
      </c>
      <c r="C55" s="2">
        <f t="shared" si="12"/>
        <v>3379663.3644516515</v>
      </c>
      <c r="D55" s="2">
        <f t="shared" si="13"/>
        <v>3320320.8093366558</v>
      </c>
      <c r="E55" s="2">
        <f t="shared" si="14"/>
        <v>3427364.0733487392</v>
      </c>
      <c r="F55" s="2">
        <f t="shared" si="3"/>
        <v>183343.63554834854</v>
      </c>
      <c r="G55" s="2">
        <f t="shared" si="4"/>
        <v>33614888696.085655</v>
      </c>
      <c r="H55" s="15">
        <f t="shared" si="5"/>
        <v>5.1457556931083365E-2</v>
      </c>
      <c r="I55" s="2"/>
      <c r="J55" s="2">
        <f t="shared" si="6"/>
        <v>242686.19066334423</v>
      </c>
      <c r="K55" s="2">
        <f t="shared" si="7"/>
        <v>58896587138.685066</v>
      </c>
      <c r="L55" s="15">
        <f t="shared" si="8"/>
        <v>6.8112745965232244E-2</v>
      </c>
      <c r="M55" s="2"/>
      <c r="N55" s="2">
        <f t="shared" si="9"/>
        <v>135642.92665126082</v>
      </c>
      <c r="O55" s="2">
        <f t="shared" si="10"/>
        <v>18399003550.519321</v>
      </c>
      <c r="P55" s="15">
        <f t="shared" si="11"/>
        <v>3.8069789548900917E-2</v>
      </c>
    </row>
    <row r="56" spans="1:16" x14ac:dyDescent="0.35">
      <c r="A56" s="3">
        <v>43586</v>
      </c>
      <c r="B56" s="4">
        <v>3820570</v>
      </c>
      <c r="C56" s="2">
        <f t="shared" si="12"/>
        <v>3397997.7280064868</v>
      </c>
      <c r="D56" s="2">
        <f t="shared" si="13"/>
        <v>3441663.9046683279</v>
      </c>
      <c r="E56" s="2">
        <f t="shared" si="14"/>
        <v>3549442.7073348742</v>
      </c>
      <c r="F56" s="2">
        <f t="shared" si="3"/>
        <v>422572.27199351322</v>
      </c>
      <c r="G56" s="2">
        <f t="shared" si="4"/>
        <v>178567325057.7597</v>
      </c>
      <c r="H56" s="15">
        <f t="shared" si="5"/>
        <v>0.11060450979657832</v>
      </c>
      <c r="I56" s="2"/>
      <c r="J56" s="2">
        <f t="shared" si="6"/>
        <v>378906.09533167211</v>
      </c>
      <c r="K56" s="2">
        <f t="shared" si="7"/>
        <v>143569829079.4942</v>
      </c>
      <c r="L56" s="15">
        <f t="shared" si="8"/>
        <v>9.917527890646477E-2</v>
      </c>
      <c r="M56" s="2"/>
      <c r="N56" s="2">
        <f t="shared" si="9"/>
        <v>271127.2926651258</v>
      </c>
      <c r="O56" s="2">
        <f t="shared" si="10"/>
        <v>73510008827.920776</v>
      </c>
      <c r="P56" s="15">
        <f t="shared" si="11"/>
        <v>7.0965142024652289E-2</v>
      </c>
    </row>
    <row r="57" spans="1:16" x14ac:dyDescent="0.35">
      <c r="A57" s="3">
        <v>43617</v>
      </c>
      <c r="B57" s="4"/>
      <c r="C57" s="17">
        <f t="shared" si="12"/>
        <v>3440254.9552058382</v>
      </c>
      <c r="D57" s="17">
        <f t="shared" si="13"/>
        <v>3631116.9523341637</v>
      </c>
      <c r="E57" s="17">
        <f t="shared" si="14"/>
        <v>3793457.2707334873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3"/>
      <c r="B58" s="4"/>
    </row>
    <row r="59" spans="1:16" x14ac:dyDescent="0.35">
      <c r="A59" s="3"/>
      <c r="B59" s="4"/>
    </row>
    <row r="60" spans="1:16" x14ac:dyDescent="0.35">
      <c r="A60" s="3"/>
      <c r="B60" s="4"/>
    </row>
    <row r="61" spans="1:16" x14ac:dyDescent="0.35">
      <c r="A61" s="3"/>
      <c r="B61" s="4"/>
    </row>
    <row r="62" spans="1:16" x14ac:dyDescent="0.35">
      <c r="A62" s="3"/>
      <c r="B62" s="4"/>
    </row>
    <row r="63" spans="1:16" x14ac:dyDescent="0.35">
      <c r="A63" s="3"/>
    </row>
    <row r="64" spans="1:16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</sheetData>
  <mergeCells count="4">
    <mergeCell ref="R23:W23"/>
    <mergeCell ref="F1:I1"/>
    <mergeCell ref="J1:M1"/>
    <mergeCell ref="N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Moving Average</vt:lpstr>
      <vt:lpstr>Exponential Smoothing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Tan Yiing Fei</dc:creator>
  <cp:lastModifiedBy>Juli Yandi Rahman</cp:lastModifiedBy>
  <dcterms:created xsi:type="dcterms:W3CDTF">2019-06-11T01:21:00Z</dcterms:created>
  <dcterms:modified xsi:type="dcterms:W3CDTF">2023-10-10T09:22:15Z</dcterms:modified>
</cp:coreProperties>
</file>