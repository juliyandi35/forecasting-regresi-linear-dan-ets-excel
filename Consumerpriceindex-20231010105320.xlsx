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ULI YANDI RAHMAN\Downloads\"/>
    </mc:Choice>
  </mc:AlternateContent>
  <xr:revisionPtr revIDLastSave="0" documentId="13_ncr:1_{4E7FF24A-94D3-4866-A48B-675B3E66A2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9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4" i="1" l="1"/>
  <c r="O3" i="1"/>
  <c r="I6" i="1"/>
  <c r="I7" i="1"/>
  <c r="I8" i="1"/>
  <c r="I9" i="1"/>
  <c r="I10" i="1"/>
  <c r="I11" i="1"/>
  <c r="I12" i="1"/>
  <c r="I13" i="1"/>
  <c r="I5" i="1"/>
  <c r="D9" i="1" l="1"/>
  <c r="E9" i="1" s="1"/>
  <c r="F9" i="1" s="1"/>
  <c r="G9" i="1" s="1"/>
  <c r="D5" i="1"/>
  <c r="E5" i="1" s="1"/>
  <c r="D14" i="1"/>
  <c r="H6" i="1"/>
  <c r="D15" i="1"/>
  <c r="D4" i="1"/>
  <c r="D12" i="1"/>
  <c r="E12" i="1" s="1"/>
  <c r="D8" i="1"/>
  <c r="E8" i="1" s="1"/>
  <c r="D7" i="1"/>
  <c r="E7" i="1" s="1"/>
  <c r="D6" i="1"/>
  <c r="E6" i="1" s="1"/>
  <c r="F6" i="1" s="1"/>
  <c r="G6" i="1" s="1"/>
  <c r="D13" i="1"/>
  <c r="E13" i="1" s="1"/>
  <c r="D11" i="1"/>
  <c r="E11" i="1" s="1"/>
  <c r="D10" i="1"/>
  <c r="E10" i="1" s="1"/>
  <c r="H9" i="1" l="1"/>
  <c r="H7" i="1"/>
  <c r="F7" i="1"/>
  <c r="G7" i="1" s="1"/>
  <c r="L3" i="1"/>
  <c r="H5" i="1"/>
  <c r="F5" i="1"/>
  <c r="F8" i="1"/>
  <c r="G8" i="1" s="1"/>
  <c r="H8" i="1"/>
  <c r="H12" i="1"/>
  <c r="F12" i="1"/>
  <c r="G12" i="1" s="1"/>
  <c r="F11" i="1"/>
  <c r="G11" i="1" s="1"/>
  <c r="H11" i="1"/>
  <c r="F10" i="1"/>
  <c r="G10" i="1" s="1"/>
  <c r="H10" i="1"/>
  <c r="F13" i="1"/>
  <c r="G13" i="1" s="1"/>
  <c r="H13" i="1"/>
  <c r="G5" i="1" l="1"/>
  <c r="L5" i="1" s="1"/>
  <c r="L4" i="1"/>
  <c r="L8" i="1"/>
  <c r="L6" i="1"/>
  <c r="L7" i="1" s="1"/>
</calcChain>
</file>

<file path=xl/sharedStrings.xml><?xml version="1.0" encoding="utf-8"?>
<sst xmlns="http://schemas.openxmlformats.org/spreadsheetml/2006/main" count="18" uniqueCount="17">
  <si>
    <t>Consumer Price Index - All Urban Consumers</t>
  </si>
  <si>
    <t>Year</t>
  </si>
  <si>
    <t>Annual CPI</t>
  </si>
  <si>
    <t>Period</t>
  </si>
  <si>
    <t>Forecast</t>
  </si>
  <si>
    <t>Error</t>
  </si>
  <si>
    <t>ABS Error</t>
  </si>
  <si>
    <t>% Error</t>
  </si>
  <si>
    <t>Sq. Error</t>
  </si>
  <si>
    <t>U-Stat</t>
  </si>
  <si>
    <t>ME</t>
  </si>
  <si>
    <t>MAE</t>
  </si>
  <si>
    <t>MAPE</t>
  </si>
  <si>
    <t>MSE</t>
  </si>
  <si>
    <t>RMSE</t>
  </si>
  <si>
    <t>Intercept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</si>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</sst>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.0"/>
    <numFmt numFmtId="166" formatCode="0.0"/>
  </numFmts>
  <fonts count="5" x14ac:knownFonts="1">
    <font>
      <sz val="10"/>
      <name val="Arial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65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0" borderId="0" xfId="0" applyFont="1"/>
    <xf numFmtId="166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Regression Forecasting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Forecast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Data!$B$4:$B$15</c:f>
              <c:numCache>
                <c:formatCode>General</c:formatCode>
                <c:ptCount val="1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</c:numCache>
            </c:numRef>
          </c:xVal>
          <c:yVal>
            <c:numRef>
              <c:f>Data!$D$4:$D$15</c:f>
              <c:numCache>
                <c:formatCode>General</c:formatCode>
                <c:ptCount val="12"/>
                <c:pt idx="0">
                  <c:v>186</c:v>
                </c:pt>
                <c:pt idx="1">
                  <c:v>190</c:v>
                </c:pt>
                <c:pt idx="2">
                  <c:v>195</c:v>
                </c:pt>
                <c:pt idx="3">
                  <c:v>200</c:v>
                </c:pt>
                <c:pt idx="4">
                  <c:v>205</c:v>
                </c:pt>
                <c:pt idx="5">
                  <c:v>210</c:v>
                </c:pt>
                <c:pt idx="6">
                  <c:v>215</c:v>
                </c:pt>
                <c:pt idx="7">
                  <c:v>220</c:v>
                </c:pt>
                <c:pt idx="8">
                  <c:v>225</c:v>
                </c:pt>
                <c:pt idx="9">
                  <c:v>230</c:v>
                </c:pt>
                <c:pt idx="10">
                  <c:v>235</c:v>
                </c:pt>
                <c:pt idx="11">
                  <c:v>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E1-4B27-85CD-118951A702D3}"/>
            </c:ext>
          </c:extLst>
        </c:ser>
        <c:ser>
          <c:idx val="1"/>
          <c:order val="1"/>
          <c:tx>
            <c:v>Actual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Data!$B$4:$B$15</c:f>
              <c:numCache>
                <c:formatCode>General</c:formatCode>
                <c:ptCount val="12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</c:numCache>
            </c:numRef>
          </c:xVal>
          <c:yVal>
            <c:numRef>
              <c:f>Data!$C$4:$C$15</c:f>
              <c:numCache>
                <c:formatCode>#,#00</c:formatCode>
                <c:ptCount val="12"/>
                <c:pt idx="0">
                  <c:v>184</c:v>
                </c:pt>
                <c:pt idx="1">
                  <c:v>188.9</c:v>
                </c:pt>
                <c:pt idx="2">
                  <c:v>195.3</c:v>
                </c:pt>
                <c:pt idx="3">
                  <c:v>201.6</c:v>
                </c:pt>
                <c:pt idx="4" formatCode="#0,000">
                  <c:v>207.34200000000001</c:v>
                </c:pt>
                <c:pt idx="5" formatCode="#0,000">
                  <c:v>215.303</c:v>
                </c:pt>
                <c:pt idx="6" formatCode="#0,000">
                  <c:v>214.53700000000001</c:v>
                </c:pt>
                <c:pt idx="7" formatCode="#0,000">
                  <c:v>218.05600000000001</c:v>
                </c:pt>
                <c:pt idx="8" formatCode="#0,000">
                  <c:v>224.93899999999999</c:v>
                </c:pt>
                <c:pt idx="9" formatCode="#0,000">
                  <c:v>229.59399999999999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E1-4B27-85CD-118951A702D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17483951"/>
        <c:axId val="145742703"/>
      </c:scatterChart>
      <c:valAx>
        <c:axId val="131748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2703"/>
        <c:crosses val="autoZero"/>
        <c:crossBetween val="midCat"/>
      </c:valAx>
      <c:valAx>
        <c:axId val="14574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CPI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83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399144</xdr:colOff>
      <xdr:row>9</xdr:row>
      <xdr:rowOff>34472</xdr:rowOff>
    </xdr:from>
    <xdr:to>
      <xdr:col>17</xdr:col>
      <xdr:colOff>362858</xdr:colOff>
      <xdr:row>22</xdr:row>
      <xdr:rowOff>183244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C7634B-44D9-3EA0-08C9-D73F686D3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70" zoomScaleNormal="70" workbookViewId="0">
      <selection activeCell="U6" sqref="U6"/>
    </sheetView>
  </sheetViews>
  <sheetFormatPr defaultColWidth="8.81640625" defaultRowHeight="15.5" x14ac:dyDescent="0.35"/>
  <cols>
    <col min="1" max="1" width="8.81640625" style="2"/>
    <col min="2" max="2" width="22.36328125" style="2" customWidth="1"/>
    <col min="3" max="3" width="19.6328125" style="2" customWidth="1"/>
    <col min="4" max="4" width="9.453125" style="2" bestFit="1" customWidth="1"/>
    <col min="5" max="5" width="5.81640625" style="2" bestFit="1" customWidth="1"/>
    <col min="6" max="6" width="10.7265625" style="2" bestFit="1" customWidth="1"/>
    <col min="7" max="7" width="8.36328125" style="2" bestFit="1" customWidth="1"/>
    <col min="8" max="8" width="9.81640625" style="2" bestFit="1" customWidth="1"/>
    <col min="9" max="9" width="7.1796875" style="2" bestFit="1" customWidth="1"/>
    <col min="10" max="13" width="8" style="2" customWidth="1"/>
    <col min="14" max="14" width="9.54296875" style="2" bestFit="1" customWidth="1"/>
    <col min="15" max="248" width="8" style="2" customWidth="1"/>
    <col min="249" max="16384" width="8.81640625" style="2"/>
  </cols>
  <sheetData>
    <row r="1" spans="1:15" x14ac:dyDescent="0.35">
      <c r="A1" s="1" t="s">
        <v>0</v>
      </c>
    </row>
    <row r="3" spans="1:15" ht="16" thickBot="1" x14ac:dyDescent="0.4">
      <c r="A3" s="7" t="s">
        <v>3</v>
      </c>
      <c r="B3" s="3" t="s">
        <v>1</v>
      </c>
      <c r="C3" s="3" t="s">
        <v>2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K3" s="2" t="s">
        <v>10</v>
      </c>
      <c r="L3" s="8">
        <f>AVERAGE(E5:E13)</f>
        <v>0.61900000000000288</v>
      </c>
      <c r="N3" s="2" t="s">
        <v>15</v>
      </c>
      <c r="O3" s="2">
        <f>INTERCEPT(C4:C13,A4:A13)</f>
        <v>180.5180666666667</v>
      </c>
    </row>
    <row r="4" spans="1:15" ht="16" thickTop="1" x14ac:dyDescent="0.35">
      <c r="A4" s="2">
        <v>1</v>
      </c>
      <c r="B4" s="4">
        <v>2003</v>
      </c>
      <c r="C4" s="5">
        <v>184</v>
      </c>
      <c r="D4" s="2">
        <f>ROUND($O$3+($O$4*A4),0)</f>
        <v>186</v>
      </c>
      <c r="E4" s="8"/>
      <c r="G4" s="9"/>
      <c r="H4" s="8"/>
      <c r="K4" s="2" t="s">
        <v>11</v>
      </c>
      <c r="L4" s="2">
        <f>AVERAGE(F5:F13)</f>
        <v>1.5021111111111116</v>
      </c>
      <c r="N4" s="2" t="s">
        <v>16</v>
      </c>
      <c r="O4" s="2">
        <f>SLOPE(C4:C13,A4:A13)</f>
        <v>4.9889151515151493</v>
      </c>
    </row>
    <row r="5" spans="1:15" x14ac:dyDescent="0.35">
      <c r="A5" s="2">
        <v>2</v>
      </c>
      <c r="B5" s="4">
        <v>2004</v>
      </c>
      <c r="C5" s="5">
        <v>188.9</v>
      </c>
      <c r="D5" s="2">
        <f t="shared" ref="D5:D15" si="0">ROUND($O$3+($O$4*A5),0)</f>
        <v>190</v>
      </c>
      <c r="E5" s="8">
        <f>C5-D5</f>
        <v>-1.0999999999999943</v>
      </c>
      <c r="F5" s="2">
        <f>ABS(E5)</f>
        <v>1.0999999999999943</v>
      </c>
      <c r="G5" s="9">
        <f>F5/C5</f>
        <v>5.8231868713604779E-3</v>
      </c>
      <c r="H5" s="8">
        <f>E5^2</f>
        <v>1.2099999999999875</v>
      </c>
      <c r="I5" s="8">
        <f>(C5-C4)^2</f>
        <v>24.010000000000055</v>
      </c>
      <c r="K5" s="2" t="s">
        <v>12</v>
      </c>
      <c r="L5" s="9">
        <f>AVERAGE(G5:G13)</f>
        <v>7.1482606641248125E-3</v>
      </c>
    </row>
    <row r="6" spans="1:15" x14ac:dyDescent="0.35">
      <c r="A6" s="2">
        <v>3</v>
      </c>
      <c r="B6" s="4">
        <v>2005</v>
      </c>
      <c r="C6" s="5">
        <v>195.3</v>
      </c>
      <c r="D6" s="2">
        <f t="shared" si="0"/>
        <v>195</v>
      </c>
      <c r="E6" s="8">
        <f t="shared" ref="E6:E15" si="1">C6-D6</f>
        <v>0.30000000000001137</v>
      </c>
      <c r="F6" s="2">
        <f t="shared" ref="F6:F15" si="2">ABS(E6)</f>
        <v>0.30000000000001137</v>
      </c>
      <c r="G6" s="9">
        <f t="shared" ref="G6:G15" si="3">F6/C6</f>
        <v>1.5360983102919168E-3</v>
      </c>
      <c r="H6" s="8">
        <f t="shared" ref="H6:H15" si="4">E6^2</f>
        <v>9.0000000000006825E-2</v>
      </c>
      <c r="I6" s="8">
        <f t="shared" ref="I6:I15" si="5">(C6-C5)^2</f>
        <v>40.960000000000072</v>
      </c>
      <c r="K6" s="2" t="s">
        <v>13</v>
      </c>
      <c r="L6" s="8">
        <f>AVERAGE(H5:H13)</f>
        <v>4.625426111111107</v>
      </c>
    </row>
    <row r="7" spans="1:15" x14ac:dyDescent="0.35">
      <c r="A7" s="2">
        <v>4</v>
      </c>
      <c r="B7" s="4">
        <v>2006</v>
      </c>
      <c r="C7" s="5">
        <v>201.6</v>
      </c>
      <c r="D7" s="2">
        <f t="shared" si="0"/>
        <v>200</v>
      </c>
      <c r="E7" s="8">
        <f t="shared" si="1"/>
        <v>1.5999999999999943</v>
      </c>
      <c r="F7" s="2">
        <f t="shared" si="2"/>
        <v>1.5999999999999943</v>
      </c>
      <c r="G7" s="9">
        <f t="shared" si="3"/>
        <v>7.9365079365079083E-3</v>
      </c>
      <c r="H7" s="8">
        <f t="shared" si="4"/>
        <v>2.5599999999999818</v>
      </c>
      <c r="I7" s="8">
        <f t="shared" si="5"/>
        <v>39.689999999999785</v>
      </c>
      <c r="K7" s="2" t="s">
        <v>14</v>
      </c>
      <c r="L7" s="2">
        <f>SQRT(L6)</f>
        <v>2.1506803832999237</v>
      </c>
    </row>
    <row r="8" spans="1:15" x14ac:dyDescent="0.35">
      <c r="A8" s="2">
        <v>5</v>
      </c>
      <c r="B8" s="4">
        <v>2007</v>
      </c>
      <c r="C8" s="6">
        <v>207.34200000000001</v>
      </c>
      <c r="D8" s="2">
        <f t="shared" si="0"/>
        <v>205</v>
      </c>
      <c r="E8" s="8">
        <f t="shared" si="1"/>
        <v>2.342000000000013</v>
      </c>
      <c r="F8" s="2">
        <f t="shared" si="2"/>
        <v>2.342000000000013</v>
      </c>
      <c r="G8" s="9">
        <f t="shared" si="3"/>
        <v>1.1295347782890167E-2</v>
      </c>
      <c r="H8" s="8">
        <f t="shared" si="4"/>
        <v>5.484964000000061</v>
      </c>
      <c r="I8" s="8">
        <f t="shared" si="5"/>
        <v>32.970564000000216</v>
      </c>
      <c r="K8" s="2" t="s">
        <v>9</v>
      </c>
      <c r="L8" s="2">
        <f>SQRT(SUM(H5:H13)/SUM(I5:I13))</f>
        <v>0.38351850871434018</v>
      </c>
    </row>
    <row r="9" spans="1:15" x14ac:dyDescent="0.35">
      <c r="A9" s="2">
        <v>6</v>
      </c>
      <c r="B9" s="4">
        <v>2008</v>
      </c>
      <c r="C9" s="6">
        <v>215.303</v>
      </c>
      <c r="D9" s="2">
        <f t="shared" si="0"/>
        <v>210</v>
      </c>
      <c r="E9" s="8">
        <f t="shared" si="1"/>
        <v>5.3029999999999973</v>
      </c>
      <c r="F9" s="2">
        <f t="shared" si="2"/>
        <v>5.3029999999999973</v>
      </c>
      <c r="G9" s="9">
        <f t="shared" si="3"/>
        <v>2.4630404592597396E-2</v>
      </c>
      <c r="H9" s="8">
        <f t="shared" si="4"/>
        <v>28.121808999999971</v>
      </c>
      <c r="I9" s="8">
        <f t="shared" si="5"/>
        <v>63.377520999999753</v>
      </c>
    </row>
    <row r="10" spans="1:15" x14ac:dyDescent="0.35">
      <c r="A10" s="2">
        <v>7</v>
      </c>
      <c r="B10" s="4">
        <v>2009</v>
      </c>
      <c r="C10" s="6">
        <v>214.53700000000001</v>
      </c>
      <c r="D10" s="2">
        <f t="shared" si="0"/>
        <v>215</v>
      </c>
      <c r="E10" s="8">
        <f t="shared" si="1"/>
        <v>-0.46299999999999386</v>
      </c>
      <c r="F10" s="2">
        <f t="shared" si="2"/>
        <v>0.46299999999999386</v>
      </c>
      <c r="G10" s="9">
        <f t="shared" si="3"/>
        <v>2.1581358926431983E-3</v>
      </c>
      <c r="H10" s="8">
        <f t="shared" si="4"/>
        <v>0.21436899999999431</v>
      </c>
      <c r="I10" s="8">
        <f t="shared" si="5"/>
        <v>0.5867559999999864</v>
      </c>
    </row>
    <row r="11" spans="1:15" x14ac:dyDescent="0.35">
      <c r="A11" s="2">
        <v>8</v>
      </c>
      <c r="B11" s="4">
        <v>2010</v>
      </c>
      <c r="C11" s="6">
        <v>218.05600000000001</v>
      </c>
      <c r="D11" s="2">
        <f t="shared" si="0"/>
        <v>220</v>
      </c>
      <c r="E11" s="8">
        <f t="shared" si="1"/>
        <v>-1.9439999999999884</v>
      </c>
      <c r="F11" s="2">
        <f t="shared" si="2"/>
        <v>1.9439999999999884</v>
      </c>
      <c r="G11" s="9">
        <f t="shared" si="3"/>
        <v>8.9151410646805783E-3</v>
      </c>
      <c r="H11" s="8">
        <f t="shared" si="4"/>
        <v>3.779135999999955</v>
      </c>
      <c r="I11" s="8">
        <f t="shared" si="5"/>
        <v>12.383361000000038</v>
      </c>
    </row>
    <row r="12" spans="1:15" x14ac:dyDescent="0.35">
      <c r="A12" s="2">
        <v>9</v>
      </c>
      <c r="B12" s="4">
        <v>2011</v>
      </c>
      <c r="C12" s="6">
        <v>224.93899999999999</v>
      </c>
      <c r="D12" s="2">
        <f t="shared" si="0"/>
        <v>225</v>
      </c>
      <c r="E12" s="8">
        <f t="shared" si="1"/>
        <v>-6.1000000000007049E-2</v>
      </c>
      <c r="F12" s="2">
        <f t="shared" si="2"/>
        <v>6.1000000000007049E-2</v>
      </c>
      <c r="G12" s="9">
        <f t="shared" si="3"/>
        <v>2.711846322781156E-4</v>
      </c>
      <c r="H12" s="8">
        <f t="shared" si="4"/>
        <v>3.7210000000008599E-3</v>
      </c>
      <c r="I12" s="8">
        <f t="shared" si="5"/>
        <v>47.375688999999745</v>
      </c>
    </row>
    <row r="13" spans="1:15" x14ac:dyDescent="0.35">
      <c r="A13" s="2">
        <v>10</v>
      </c>
      <c r="B13" s="4">
        <v>2012</v>
      </c>
      <c r="C13" s="6">
        <v>229.59399999999999</v>
      </c>
      <c r="D13" s="2">
        <f t="shared" si="0"/>
        <v>230</v>
      </c>
      <c r="E13" s="8">
        <f t="shared" si="1"/>
        <v>-0.40600000000000591</v>
      </c>
      <c r="F13" s="2">
        <f t="shared" si="2"/>
        <v>0.40600000000000591</v>
      </c>
      <c r="G13" s="9">
        <f t="shared" si="3"/>
        <v>1.7683388938735591E-3</v>
      </c>
      <c r="H13" s="8">
        <f t="shared" si="4"/>
        <v>0.16483600000000481</v>
      </c>
      <c r="I13" s="8">
        <f t="shared" si="5"/>
        <v>21.669025000000012</v>
      </c>
    </row>
    <row r="14" spans="1:15" x14ac:dyDescent="0.35">
      <c r="A14" s="2">
        <v>11</v>
      </c>
      <c r="B14" s="2">
        <v>2013</v>
      </c>
      <c r="D14" s="2">
        <f t="shared" si="0"/>
        <v>235</v>
      </c>
      <c r="E14" s="8"/>
      <c r="G14" s="9"/>
      <c r="H14" s="8"/>
      <c r="I14" s="8"/>
    </row>
    <row r="15" spans="1:15" x14ac:dyDescent="0.35">
      <c r="A15" s="2">
        <v>12</v>
      </c>
      <c r="B15" s="2">
        <v>2014</v>
      </c>
      <c r="D15" s="2">
        <f t="shared" si="0"/>
        <v>240</v>
      </c>
      <c r="E15" s="8"/>
      <c r="G15" s="9"/>
      <c r="H15" s="8"/>
      <c r="I15" s="8"/>
    </row>
  </sheetData>
  <pageMargins left="0.75" right="0.75" top="1" bottom="1" header="0.5" footer="0.5"/>
  <headerFooter>
    <oddHeader>&amp;CBureau of Labor Statistics&amp;L&amp;R</oddHeader>
    <oddFooter>&amp;C&amp;LSource: Bureau of Labor Statistics&amp;RGenerated on: October 4, 2010 (01:33:45 PM)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 Evans</dc:creator>
  <cp:lastModifiedBy>Juli Yandi Rahman</cp:lastModifiedBy>
  <dcterms:created xsi:type="dcterms:W3CDTF">2010-10-04T17:34:23Z</dcterms:created>
  <dcterms:modified xsi:type="dcterms:W3CDTF">2023-10-10T05:50:46Z</dcterms:modified>
</cp:coreProperties>
</file>